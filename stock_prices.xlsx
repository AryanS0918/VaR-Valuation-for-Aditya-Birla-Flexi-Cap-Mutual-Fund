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ryan\Downloads\"/>
    </mc:Choice>
  </mc:AlternateContent>
  <bookViews>
    <workbookView xWindow="0" yWindow="0" windowWidth="19320" windowHeight="8376"/>
  </bookViews>
  <sheets>
    <sheet name="Mutual Fund Specifics" sheetId="7" r:id="rId1"/>
    <sheet name="Closing Prices" sheetId="2" r:id="rId2"/>
    <sheet name="Returns Calculation" sheetId="3" r:id="rId3"/>
    <sheet name="Covariance Variance Matrix " sheetId="1" r:id="rId4"/>
    <sheet name="VaR With Equal Weights" sheetId="4" r:id="rId5"/>
    <sheet name="VaR with Optimized Weights " sheetId="5" r:id="rId6"/>
    <sheet name="Ratio's" sheetId="6" r:id="rId7"/>
    <sheet name="Analysis and Future" sheetId="8" r:id="rId8"/>
  </sheets>
  <definedNames>
    <definedName name="solver_adj" localSheetId="5" hidden="1">'VaR with Optimized Weights '!$E$5:$E$9</definedName>
    <definedName name="solver_cvg" localSheetId="5" hidden="1">0.0001</definedName>
    <definedName name="solver_drv" localSheetId="5" hidden="1">2</definedName>
    <definedName name="solver_eng" localSheetId="5" hidden="1">1</definedName>
    <definedName name="solver_est" localSheetId="5" hidden="1">1</definedName>
    <definedName name="solver_itr" localSheetId="5" hidden="1">2147483647</definedName>
    <definedName name="solver_lhs1" localSheetId="5" hidden="1">'VaR with Optimized Weights '!$E$10</definedName>
    <definedName name="solver_lhs2" localSheetId="5" hidden="1">'VaR with Optimized Weights '!$E$5:$E$9</definedName>
    <definedName name="solver_lhs3" localSheetId="5" hidden="1">'VaR with Optimized Weights '!$E$5:$E$9</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3</definedName>
    <definedName name="solver_nwt" localSheetId="5" hidden="1">1</definedName>
    <definedName name="solver_opt" localSheetId="5" hidden="1">'VaR with Optimized Weights '!$E$5</definedName>
    <definedName name="solver_pre" localSheetId="5" hidden="1">0.000001</definedName>
    <definedName name="solver_rbv" localSheetId="5" hidden="1">2</definedName>
    <definedName name="solver_rel1" localSheetId="5" hidden="1">2</definedName>
    <definedName name="solver_rel2" localSheetId="5" hidden="1">1</definedName>
    <definedName name="solver_rel3" localSheetId="5" hidden="1">3</definedName>
    <definedName name="solver_rhs1" localSheetId="5" hidden="1">100%</definedName>
    <definedName name="solver_rhs2" localSheetId="5" hidden="1">60%</definedName>
    <definedName name="solver_rhs3" localSheetId="5" hidden="1">5%</definedName>
    <definedName name="solver_rlx" localSheetId="5" hidden="1">2</definedName>
    <definedName name="solver_rsd" localSheetId="5" hidden="1">0</definedName>
    <definedName name="solver_scl" localSheetId="5" hidden="1">2</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1</definedName>
    <definedName name="solver_val" localSheetId="5" hidden="1">0</definedName>
    <definedName name="solver_ver" localSheetId="5" hidden="1">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6" l="1"/>
  <c r="D12" i="6"/>
  <c r="D13" i="6"/>
  <c r="D7" i="6"/>
  <c r="F4" i="6"/>
  <c r="G4" i="6"/>
  <c r="H4" i="6"/>
  <c r="E4" i="6"/>
  <c r="D4" i="6"/>
  <c r="D20" i="5"/>
  <c r="D19" i="5"/>
  <c r="D18" i="5"/>
  <c r="D17" i="5"/>
  <c r="D15" i="5"/>
  <c r="Z24" i="1" a="1"/>
  <c r="Z24" i="1" s="1"/>
  <c r="D14" i="5"/>
  <c r="Z23" i="1"/>
  <c r="D13" i="5" a="1"/>
  <c r="D13" i="5" s="1"/>
  <c r="Z22" i="1" a="1"/>
  <c r="Z22" i="1" s="1"/>
  <c r="D12" i="5" a="1"/>
  <c r="D12" i="5" s="1"/>
  <c r="J4" i="5"/>
  <c r="H6" i="5"/>
  <c r="H7" i="5"/>
  <c r="K4" i="5" s="1"/>
  <c r="H8" i="5"/>
  <c r="L4" i="5" s="1"/>
  <c r="H9" i="5"/>
  <c r="M4" i="5" s="1"/>
  <c r="H5" i="5"/>
  <c r="I4" i="5" s="1"/>
  <c r="AA13" i="1" a="1"/>
  <c r="AA13" i="1" s="1"/>
  <c r="E10" i="5"/>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9" i="3"/>
  <c r="M4" i="1"/>
  <c r="M11" i="1"/>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F10" i="3"/>
  <c r="G10" i="3"/>
  <c r="H10" i="3"/>
  <c r="I10" i="3"/>
  <c r="F11" i="3"/>
  <c r="G11" i="3"/>
  <c r="H11" i="3"/>
  <c r="I11" i="3"/>
  <c r="F12" i="3"/>
  <c r="G12" i="3"/>
  <c r="H12" i="3"/>
  <c r="I12" i="3"/>
  <c r="F13" i="3"/>
  <c r="G13" i="3"/>
  <c r="H13" i="3"/>
  <c r="I13" i="3"/>
  <c r="F14" i="3"/>
  <c r="G14" i="3"/>
  <c r="H14" i="3"/>
  <c r="I14" i="3"/>
  <c r="F15" i="3"/>
  <c r="G15" i="3"/>
  <c r="H15" i="3"/>
  <c r="I15" i="3"/>
  <c r="F16" i="3"/>
  <c r="G16" i="3"/>
  <c r="H16" i="3"/>
  <c r="I16" i="3"/>
  <c r="F17" i="3"/>
  <c r="G17" i="3"/>
  <c r="H17" i="3"/>
  <c r="I17" i="3"/>
  <c r="F18" i="3"/>
  <c r="G18" i="3"/>
  <c r="H18" i="3"/>
  <c r="I18" i="3"/>
  <c r="F19" i="3"/>
  <c r="G19" i="3"/>
  <c r="H19" i="3"/>
  <c r="I19" i="3"/>
  <c r="F20" i="3"/>
  <c r="G20" i="3"/>
  <c r="H20" i="3"/>
  <c r="I20" i="3"/>
  <c r="F21" i="3"/>
  <c r="G21" i="3"/>
  <c r="H21" i="3"/>
  <c r="I21" i="3"/>
  <c r="F22" i="3"/>
  <c r="G22" i="3"/>
  <c r="H22" i="3"/>
  <c r="I22" i="3"/>
  <c r="F23" i="3"/>
  <c r="G23" i="3"/>
  <c r="H23" i="3"/>
  <c r="I23" i="3"/>
  <c r="F24" i="3"/>
  <c r="G24" i="3"/>
  <c r="H24" i="3"/>
  <c r="I24" i="3"/>
  <c r="F25" i="3"/>
  <c r="G25" i="3"/>
  <c r="H25" i="3"/>
  <c r="I25" i="3"/>
  <c r="F26" i="3"/>
  <c r="G26" i="3"/>
  <c r="H26" i="3"/>
  <c r="I26" i="3"/>
  <c r="F27" i="3"/>
  <c r="G27" i="3"/>
  <c r="H27" i="3"/>
  <c r="I27" i="3"/>
  <c r="F28" i="3"/>
  <c r="G28" i="3"/>
  <c r="H28" i="3"/>
  <c r="I28" i="3"/>
  <c r="F29" i="3"/>
  <c r="G29" i="3"/>
  <c r="H29" i="3"/>
  <c r="I29" i="3"/>
  <c r="F30" i="3"/>
  <c r="G30" i="3"/>
  <c r="H30" i="3"/>
  <c r="I30" i="3"/>
  <c r="F31" i="3"/>
  <c r="G31" i="3"/>
  <c r="H31" i="3"/>
  <c r="I31" i="3"/>
  <c r="F32" i="3"/>
  <c r="G32" i="3"/>
  <c r="H32" i="3"/>
  <c r="I32" i="3"/>
  <c r="F33" i="3"/>
  <c r="G33" i="3"/>
  <c r="H33" i="3"/>
  <c r="I33" i="3"/>
  <c r="F34" i="3"/>
  <c r="G34" i="3"/>
  <c r="H34" i="3"/>
  <c r="I34" i="3"/>
  <c r="F35" i="3"/>
  <c r="G35" i="3"/>
  <c r="H35" i="3"/>
  <c r="I35" i="3"/>
  <c r="F36" i="3"/>
  <c r="G36" i="3"/>
  <c r="H36" i="3"/>
  <c r="I36" i="3"/>
  <c r="F37" i="3"/>
  <c r="G37" i="3"/>
  <c r="H37" i="3"/>
  <c r="I37" i="3"/>
  <c r="F38" i="3"/>
  <c r="G38" i="3"/>
  <c r="H38" i="3"/>
  <c r="I38" i="3"/>
  <c r="F39" i="3"/>
  <c r="G39" i="3"/>
  <c r="H39" i="3"/>
  <c r="I39" i="3"/>
  <c r="F40" i="3"/>
  <c r="G40" i="3"/>
  <c r="H40" i="3"/>
  <c r="I40" i="3"/>
  <c r="F41" i="3"/>
  <c r="G41" i="3"/>
  <c r="H41" i="3"/>
  <c r="I41" i="3"/>
  <c r="F42" i="3"/>
  <c r="G42" i="3"/>
  <c r="H42" i="3"/>
  <c r="I42" i="3"/>
  <c r="F43" i="3"/>
  <c r="G43" i="3"/>
  <c r="H43" i="3"/>
  <c r="I43" i="3"/>
  <c r="F44" i="3"/>
  <c r="G44" i="3"/>
  <c r="H44" i="3"/>
  <c r="I44" i="3"/>
  <c r="F45" i="3"/>
  <c r="G45" i="3"/>
  <c r="H45" i="3"/>
  <c r="I45" i="3"/>
  <c r="F46" i="3"/>
  <c r="G46" i="3"/>
  <c r="H46" i="3"/>
  <c r="I46" i="3"/>
  <c r="F47" i="3"/>
  <c r="G47" i="3"/>
  <c r="H47" i="3"/>
  <c r="I47" i="3"/>
  <c r="F48" i="3"/>
  <c r="G48" i="3"/>
  <c r="H48" i="3"/>
  <c r="I48" i="3"/>
  <c r="F49" i="3"/>
  <c r="G49" i="3"/>
  <c r="H49" i="3"/>
  <c r="I49" i="3"/>
  <c r="F50" i="3"/>
  <c r="G50" i="3"/>
  <c r="H50" i="3"/>
  <c r="I50" i="3"/>
  <c r="F51" i="3"/>
  <c r="G51" i="3"/>
  <c r="H51" i="3"/>
  <c r="I51" i="3"/>
  <c r="F52" i="3"/>
  <c r="G52" i="3"/>
  <c r="H52" i="3"/>
  <c r="I52" i="3"/>
  <c r="F53" i="3"/>
  <c r="G53" i="3"/>
  <c r="H53" i="3"/>
  <c r="I53" i="3"/>
  <c r="F54" i="3"/>
  <c r="G54" i="3"/>
  <c r="H54" i="3"/>
  <c r="I54" i="3"/>
  <c r="F55" i="3"/>
  <c r="G55" i="3"/>
  <c r="H55" i="3"/>
  <c r="I55" i="3"/>
  <c r="F56" i="3"/>
  <c r="G56" i="3"/>
  <c r="H56" i="3"/>
  <c r="I56" i="3"/>
  <c r="F57" i="3"/>
  <c r="G57" i="3"/>
  <c r="H57" i="3"/>
  <c r="I57" i="3"/>
  <c r="F58" i="3"/>
  <c r="G58" i="3"/>
  <c r="H58" i="3"/>
  <c r="I58" i="3"/>
  <c r="F59" i="3"/>
  <c r="G59" i="3"/>
  <c r="H59" i="3"/>
  <c r="I59" i="3"/>
  <c r="F60" i="3"/>
  <c r="G60" i="3"/>
  <c r="H60" i="3"/>
  <c r="I60" i="3"/>
  <c r="F61" i="3"/>
  <c r="G61" i="3"/>
  <c r="H61" i="3"/>
  <c r="I61" i="3"/>
  <c r="F62" i="3"/>
  <c r="G62" i="3"/>
  <c r="H62" i="3"/>
  <c r="I62" i="3"/>
  <c r="F63" i="3"/>
  <c r="G63" i="3"/>
  <c r="H63" i="3"/>
  <c r="I63" i="3"/>
  <c r="F64" i="3"/>
  <c r="G64" i="3"/>
  <c r="H64" i="3"/>
  <c r="I64" i="3"/>
  <c r="F65" i="3"/>
  <c r="G65" i="3"/>
  <c r="H65" i="3"/>
  <c r="I65" i="3"/>
  <c r="F66" i="3"/>
  <c r="G66" i="3"/>
  <c r="H66" i="3"/>
  <c r="I66" i="3"/>
  <c r="F67" i="3"/>
  <c r="G67" i="3"/>
  <c r="H67" i="3"/>
  <c r="I67" i="3"/>
  <c r="F68" i="3"/>
  <c r="G68" i="3"/>
  <c r="H68" i="3"/>
  <c r="I68" i="3"/>
  <c r="F69" i="3"/>
  <c r="G69" i="3"/>
  <c r="H69" i="3"/>
  <c r="I69" i="3"/>
  <c r="F70" i="3"/>
  <c r="G70" i="3"/>
  <c r="H70" i="3"/>
  <c r="I70" i="3"/>
  <c r="F71" i="3"/>
  <c r="G71" i="3"/>
  <c r="H71" i="3"/>
  <c r="I71" i="3"/>
  <c r="F72" i="3"/>
  <c r="G72" i="3"/>
  <c r="H72" i="3"/>
  <c r="I72" i="3"/>
  <c r="F73" i="3"/>
  <c r="G73" i="3"/>
  <c r="H73" i="3"/>
  <c r="I73" i="3"/>
  <c r="F74" i="3"/>
  <c r="G74" i="3"/>
  <c r="H74" i="3"/>
  <c r="I74" i="3"/>
  <c r="F75" i="3"/>
  <c r="G75" i="3"/>
  <c r="H75" i="3"/>
  <c r="I75" i="3"/>
  <c r="F76" i="3"/>
  <c r="G76" i="3"/>
  <c r="H76" i="3"/>
  <c r="I76" i="3"/>
  <c r="F77" i="3"/>
  <c r="G77" i="3"/>
  <c r="H77" i="3"/>
  <c r="I77" i="3"/>
  <c r="F78" i="3"/>
  <c r="G78" i="3"/>
  <c r="H78" i="3"/>
  <c r="I78" i="3"/>
  <c r="F79" i="3"/>
  <c r="G79" i="3"/>
  <c r="H79" i="3"/>
  <c r="I79" i="3"/>
  <c r="F80" i="3"/>
  <c r="G80" i="3"/>
  <c r="H80" i="3"/>
  <c r="I80" i="3"/>
  <c r="F81" i="3"/>
  <c r="G81" i="3"/>
  <c r="H81" i="3"/>
  <c r="I81" i="3"/>
  <c r="F82" i="3"/>
  <c r="G82" i="3"/>
  <c r="H82" i="3"/>
  <c r="I82" i="3"/>
  <c r="F83" i="3"/>
  <c r="G83" i="3"/>
  <c r="H83" i="3"/>
  <c r="I83" i="3"/>
  <c r="F84" i="3"/>
  <c r="G84" i="3"/>
  <c r="H84" i="3"/>
  <c r="I84" i="3"/>
  <c r="F85" i="3"/>
  <c r="G85" i="3"/>
  <c r="H85" i="3"/>
  <c r="I85" i="3"/>
  <c r="F86" i="3"/>
  <c r="G86" i="3"/>
  <c r="H86" i="3"/>
  <c r="I86" i="3"/>
  <c r="F87" i="3"/>
  <c r="G87" i="3"/>
  <c r="H87" i="3"/>
  <c r="I87" i="3"/>
  <c r="F88" i="3"/>
  <c r="G88" i="3"/>
  <c r="H88" i="3"/>
  <c r="I88" i="3"/>
  <c r="F89" i="3"/>
  <c r="G89" i="3"/>
  <c r="H89" i="3"/>
  <c r="I89" i="3"/>
  <c r="F90" i="3"/>
  <c r="G90" i="3"/>
  <c r="H90" i="3"/>
  <c r="I90" i="3"/>
  <c r="F91" i="3"/>
  <c r="G91" i="3"/>
  <c r="H91" i="3"/>
  <c r="I91" i="3"/>
  <c r="F92" i="3"/>
  <c r="G92" i="3"/>
  <c r="H92" i="3"/>
  <c r="I92" i="3"/>
  <c r="F93" i="3"/>
  <c r="G93" i="3"/>
  <c r="H93" i="3"/>
  <c r="I93" i="3"/>
  <c r="F94" i="3"/>
  <c r="G94" i="3"/>
  <c r="H94" i="3"/>
  <c r="I94" i="3"/>
  <c r="F95" i="3"/>
  <c r="G95" i="3"/>
  <c r="H95" i="3"/>
  <c r="I95" i="3"/>
  <c r="F96" i="3"/>
  <c r="G96" i="3"/>
  <c r="H96" i="3"/>
  <c r="I96" i="3"/>
  <c r="F97" i="3"/>
  <c r="G97" i="3"/>
  <c r="H97" i="3"/>
  <c r="I97" i="3"/>
  <c r="F98" i="3"/>
  <c r="G98" i="3"/>
  <c r="H98" i="3"/>
  <c r="I98" i="3"/>
  <c r="F99" i="3"/>
  <c r="G99" i="3"/>
  <c r="H99" i="3"/>
  <c r="I99" i="3"/>
  <c r="F100" i="3"/>
  <c r="G100" i="3"/>
  <c r="H100" i="3"/>
  <c r="I100" i="3"/>
  <c r="F101" i="3"/>
  <c r="G101" i="3"/>
  <c r="H101" i="3"/>
  <c r="I101" i="3"/>
  <c r="F102" i="3"/>
  <c r="G102" i="3"/>
  <c r="H102" i="3"/>
  <c r="I102" i="3"/>
  <c r="F103" i="3"/>
  <c r="G103" i="3"/>
  <c r="H103" i="3"/>
  <c r="I103" i="3"/>
  <c r="F104" i="3"/>
  <c r="G104" i="3"/>
  <c r="H104" i="3"/>
  <c r="I104" i="3"/>
  <c r="F105" i="3"/>
  <c r="G105" i="3"/>
  <c r="H105" i="3"/>
  <c r="I105" i="3"/>
  <c r="F106" i="3"/>
  <c r="G106" i="3"/>
  <c r="H106" i="3"/>
  <c r="I106" i="3"/>
  <c r="F107" i="3"/>
  <c r="G107" i="3"/>
  <c r="H107" i="3"/>
  <c r="I107" i="3"/>
  <c r="F108" i="3"/>
  <c r="G108" i="3"/>
  <c r="H108" i="3"/>
  <c r="I108" i="3"/>
  <c r="F109" i="3"/>
  <c r="G109" i="3"/>
  <c r="H109" i="3"/>
  <c r="I109" i="3"/>
  <c r="F110" i="3"/>
  <c r="G110" i="3"/>
  <c r="H110" i="3"/>
  <c r="I110" i="3"/>
  <c r="F111" i="3"/>
  <c r="G111" i="3"/>
  <c r="H111" i="3"/>
  <c r="I111" i="3"/>
  <c r="F112" i="3"/>
  <c r="G112" i="3"/>
  <c r="H112" i="3"/>
  <c r="I112" i="3"/>
  <c r="F113" i="3"/>
  <c r="G113" i="3"/>
  <c r="H113" i="3"/>
  <c r="I113" i="3"/>
  <c r="F114" i="3"/>
  <c r="G114" i="3"/>
  <c r="H114" i="3"/>
  <c r="I114" i="3"/>
  <c r="F115" i="3"/>
  <c r="G115" i="3"/>
  <c r="H115" i="3"/>
  <c r="I115" i="3"/>
  <c r="F116" i="3"/>
  <c r="G116" i="3"/>
  <c r="H116" i="3"/>
  <c r="I116" i="3"/>
  <c r="F117" i="3"/>
  <c r="G117" i="3"/>
  <c r="H117" i="3"/>
  <c r="I117" i="3"/>
  <c r="F118" i="3"/>
  <c r="G118" i="3"/>
  <c r="H118" i="3"/>
  <c r="I118" i="3"/>
  <c r="F119" i="3"/>
  <c r="G119" i="3"/>
  <c r="H119" i="3"/>
  <c r="I119" i="3"/>
  <c r="F120" i="3"/>
  <c r="G120" i="3"/>
  <c r="H120" i="3"/>
  <c r="I120" i="3"/>
  <c r="F121" i="3"/>
  <c r="G121" i="3"/>
  <c r="H121" i="3"/>
  <c r="I121" i="3"/>
  <c r="F122" i="3"/>
  <c r="G122" i="3"/>
  <c r="H122" i="3"/>
  <c r="I122" i="3"/>
  <c r="F123" i="3"/>
  <c r="G123" i="3"/>
  <c r="H123" i="3"/>
  <c r="I123" i="3"/>
  <c r="F124" i="3"/>
  <c r="G124" i="3"/>
  <c r="H124" i="3"/>
  <c r="I124" i="3"/>
  <c r="F125" i="3"/>
  <c r="G125" i="3"/>
  <c r="H125" i="3"/>
  <c r="I125" i="3"/>
  <c r="F126" i="3"/>
  <c r="G126" i="3"/>
  <c r="H126" i="3"/>
  <c r="I126" i="3"/>
  <c r="F127" i="3"/>
  <c r="G127" i="3"/>
  <c r="H127" i="3"/>
  <c r="I127" i="3"/>
  <c r="F128" i="3"/>
  <c r="G128" i="3"/>
  <c r="H128" i="3"/>
  <c r="I128" i="3"/>
  <c r="F129" i="3"/>
  <c r="G129" i="3"/>
  <c r="H129" i="3"/>
  <c r="I129" i="3"/>
  <c r="F130" i="3"/>
  <c r="G130" i="3"/>
  <c r="H130" i="3"/>
  <c r="I130" i="3"/>
  <c r="F131" i="3"/>
  <c r="G131" i="3"/>
  <c r="H131" i="3"/>
  <c r="I131" i="3"/>
  <c r="F132" i="3"/>
  <c r="G132" i="3"/>
  <c r="H132" i="3"/>
  <c r="I132" i="3"/>
  <c r="F133" i="3"/>
  <c r="G133" i="3"/>
  <c r="H133" i="3"/>
  <c r="I133" i="3"/>
  <c r="F134" i="3"/>
  <c r="G134" i="3"/>
  <c r="H134" i="3"/>
  <c r="I134" i="3"/>
  <c r="F135" i="3"/>
  <c r="G135" i="3"/>
  <c r="H135" i="3"/>
  <c r="I135" i="3"/>
  <c r="F136" i="3"/>
  <c r="G136" i="3"/>
  <c r="H136" i="3"/>
  <c r="I136" i="3"/>
  <c r="F137" i="3"/>
  <c r="G137" i="3"/>
  <c r="H137" i="3"/>
  <c r="I137" i="3"/>
  <c r="F138" i="3"/>
  <c r="G138" i="3"/>
  <c r="H138" i="3"/>
  <c r="I138" i="3"/>
  <c r="F139" i="3"/>
  <c r="G139" i="3"/>
  <c r="H139" i="3"/>
  <c r="I139" i="3"/>
  <c r="F140" i="3"/>
  <c r="G140" i="3"/>
  <c r="H140" i="3"/>
  <c r="I140" i="3"/>
  <c r="F141" i="3"/>
  <c r="G141" i="3"/>
  <c r="H141" i="3"/>
  <c r="I141" i="3"/>
  <c r="F142" i="3"/>
  <c r="G142" i="3"/>
  <c r="H142" i="3"/>
  <c r="I142" i="3"/>
  <c r="F143" i="3"/>
  <c r="G143" i="3"/>
  <c r="H143" i="3"/>
  <c r="I143" i="3"/>
  <c r="F144" i="3"/>
  <c r="G144" i="3"/>
  <c r="H144" i="3"/>
  <c r="I144" i="3"/>
  <c r="F145" i="3"/>
  <c r="G145" i="3"/>
  <c r="H145" i="3"/>
  <c r="I145" i="3"/>
  <c r="F146" i="3"/>
  <c r="G146" i="3"/>
  <c r="H146" i="3"/>
  <c r="I146" i="3"/>
  <c r="F147" i="3"/>
  <c r="G147" i="3"/>
  <c r="H147" i="3"/>
  <c r="I147" i="3"/>
  <c r="F148" i="3"/>
  <c r="G148" i="3"/>
  <c r="H148" i="3"/>
  <c r="I148" i="3"/>
  <c r="F149" i="3"/>
  <c r="G149" i="3"/>
  <c r="H149" i="3"/>
  <c r="I149" i="3"/>
  <c r="F150" i="3"/>
  <c r="G150" i="3"/>
  <c r="H150" i="3"/>
  <c r="I150" i="3"/>
  <c r="F151" i="3"/>
  <c r="G151" i="3"/>
  <c r="H151" i="3"/>
  <c r="I151" i="3"/>
  <c r="F152" i="3"/>
  <c r="G152" i="3"/>
  <c r="H152" i="3"/>
  <c r="I152" i="3"/>
  <c r="F153" i="3"/>
  <c r="G153" i="3"/>
  <c r="H153" i="3"/>
  <c r="I153" i="3"/>
  <c r="F154" i="3"/>
  <c r="G154" i="3"/>
  <c r="H154" i="3"/>
  <c r="I154" i="3"/>
  <c r="F155" i="3"/>
  <c r="G155" i="3"/>
  <c r="H155" i="3"/>
  <c r="I155" i="3"/>
  <c r="F156" i="3"/>
  <c r="G156" i="3"/>
  <c r="H156" i="3"/>
  <c r="I156" i="3"/>
  <c r="F157" i="3"/>
  <c r="G157" i="3"/>
  <c r="H157" i="3"/>
  <c r="I157" i="3"/>
  <c r="F158" i="3"/>
  <c r="G158" i="3"/>
  <c r="H158" i="3"/>
  <c r="I158" i="3"/>
  <c r="F159" i="3"/>
  <c r="G159" i="3"/>
  <c r="H159" i="3"/>
  <c r="I159" i="3"/>
  <c r="F160" i="3"/>
  <c r="G160" i="3"/>
  <c r="H160" i="3"/>
  <c r="I160" i="3"/>
  <c r="F161" i="3"/>
  <c r="G161" i="3"/>
  <c r="H161" i="3"/>
  <c r="I161" i="3"/>
  <c r="F162" i="3"/>
  <c r="G162" i="3"/>
  <c r="H162" i="3"/>
  <c r="I162" i="3"/>
  <c r="F163" i="3"/>
  <c r="G163" i="3"/>
  <c r="H163" i="3"/>
  <c r="I163" i="3"/>
  <c r="F164" i="3"/>
  <c r="G164" i="3"/>
  <c r="H164" i="3"/>
  <c r="I164" i="3"/>
  <c r="F165" i="3"/>
  <c r="G165" i="3"/>
  <c r="H165" i="3"/>
  <c r="I165" i="3"/>
  <c r="F166" i="3"/>
  <c r="G166" i="3"/>
  <c r="H166" i="3"/>
  <c r="I166" i="3"/>
  <c r="F167" i="3"/>
  <c r="G167" i="3"/>
  <c r="H167" i="3"/>
  <c r="I167" i="3"/>
  <c r="F168" i="3"/>
  <c r="G168" i="3"/>
  <c r="H168" i="3"/>
  <c r="I168" i="3"/>
  <c r="F169" i="3"/>
  <c r="G169" i="3"/>
  <c r="H169" i="3"/>
  <c r="I169" i="3"/>
  <c r="F170" i="3"/>
  <c r="G170" i="3"/>
  <c r="H170" i="3"/>
  <c r="I170" i="3"/>
  <c r="F171" i="3"/>
  <c r="G171" i="3"/>
  <c r="H171" i="3"/>
  <c r="I171" i="3"/>
  <c r="F172" i="3"/>
  <c r="G172" i="3"/>
  <c r="H172" i="3"/>
  <c r="I172" i="3"/>
  <c r="F173" i="3"/>
  <c r="G173" i="3"/>
  <c r="H173" i="3"/>
  <c r="I173" i="3"/>
  <c r="F174" i="3"/>
  <c r="G174" i="3"/>
  <c r="H174" i="3"/>
  <c r="I174" i="3"/>
  <c r="F175" i="3"/>
  <c r="G175" i="3"/>
  <c r="H175" i="3"/>
  <c r="I175" i="3"/>
  <c r="F176" i="3"/>
  <c r="G176" i="3"/>
  <c r="H176" i="3"/>
  <c r="I176" i="3"/>
  <c r="F177" i="3"/>
  <c r="G177" i="3"/>
  <c r="H177" i="3"/>
  <c r="I177" i="3"/>
  <c r="F178" i="3"/>
  <c r="G178" i="3"/>
  <c r="H178" i="3"/>
  <c r="I178" i="3"/>
  <c r="F179" i="3"/>
  <c r="G179" i="3"/>
  <c r="H179" i="3"/>
  <c r="I179" i="3"/>
  <c r="F180" i="3"/>
  <c r="G180" i="3"/>
  <c r="H180" i="3"/>
  <c r="I180" i="3"/>
  <c r="F181" i="3"/>
  <c r="G181" i="3"/>
  <c r="H181" i="3"/>
  <c r="I181" i="3"/>
  <c r="F182" i="3"/>
  <c r="G182" i="3"/>
  <c r="H182" i="3"/>
  <c r="I182" i="3"/>
  <c r="F183" i="3"/>
  <c r="G183" i="3"/>
  <c r="H183" i="3"/>
  <c r="I183" i="3"/>
  <c r="F184" i="3"/>
  <c r="G184" i="3"/>
  <c r="H184" i="3"/>
  <c r="I184" i="3"/>
  <c r="F185" i="3"/>
  <c r="G185" i="3"/>
  <c r="H185" i="3"/>
  <c r="I185" i="3"/>
  <c r="F186" i="3"/>
  <c r="G186" i="3"/>
  <c r="H186" i="3"/>
  <c r="I186" i="3"/>
  <c r="F187" i="3"/>
  <c r="G187" i="3"/>
  <c r="H187" i="3"/>
  <c r="I187" i="3"/>
  <c r="F188" i="3"/>
  <c r="G188" i="3"/>
  <c r="H188" i="3"/>
  <c r="I188" i="3"/>
  <c r="F189" i="3"/>
  <c r="G189" i="3"/>
  <c r="H189" i="3"/>
  <c r="I189" i="3"/>
  <c r="F190" i="3"/>
  <c r="G190" i="3"/>
  <c r="H190" i="3"/>
  <c r="I190" i="3"/>
  <c r="F191" i="3"/>
  <c r="G191" i="3"/>
  <c r="H191" i="3"/>
  <c r="I191" i="3"/>
  <c r="F192" i="3"/>
  <c r="G192" i="3"/>
  <c r="H192" i="3"/>
  <c r="I192" i="3"/>
  <c r="F193" i="3"/>
  <c r="G193" i="3"/>
  <c r="H193" i="3"/>
  <c r="I193" i="3"/>
  <c r="F194" i="3"/>
  <c r="G194" i="3"/>
  <c r="H194" i="3"/>
  <c r="I194" i="3"/>
  <c r="F195" i="3"/>
  <c r="G195" i="3"/>
  <c r="H195" i="3"/>
  <c r="I195" i="3"/>
  <c r="F196" i="3"/>
  <c r="G196" i="3"/>
  <c r="H196" i="3"/>
  <c r="I196" i="3"/>
  <c r="F197" i="3"/>
  <c r="G197" i="3"/>
  <c r="H197" i="3"/>
  <c r="I197" i="3"/>
  <c r="F198" i="3"/>
  <c r="G198" i="3"/>
  <c r="H198" i="3"/>
  <c r="I198" i="3"/>
  <c r="F199" i="3"/>
  <c r="G199" i="3"/>
  <c r="H199" i="3"/>
  <c r="I199" i="3"/>
  <c r="F200" i="3"/>
  <c r="G200" i="3"/>
  <c r="H200" i="3"/>
  <c r="I200" i="3"/>
  <c r="F201" i="3"/>
  <c r="G201" i="3"/>
  <c r="H201" i="3"/>
  <c r="I201" i="3"/>
  <c r="F202" i="3"/>
  <c r="G202" i="3"/>
  <c r="H202" i="3"/>
  <c r="I202" i="3"/>
  <c r="F203" i="3"/>
  <c r="G203" i="3"/>
  <c r="H203" i="3"/>
  <c r="I203" i="3"/>
  <c r="F204" i="3"/>
  <c r="G204" i="3"/>
  <c r="H204" i="3"/>
  <c r="I204" i="3"/>
  <c r="F205" i="3"/>
  <c r="G205" i="3"/>
  <c r="H205" i="3"/>
  <c r="I205" i="3"/>
  <c r="F206" i="3"/>
  <c r="G206" i="3"/>
  <c r="H206" i="3"/>
  <c r="I206" i="3"/>
  <c r="F207" i="3"/>
  <c r="G207" i="3"/>
  <c r="H207" i="3"/>
  <c r="I207" i="3"/>
  <c r="F208" i="3"/>
  <c r="G208" i="3"/>
  <c r="H208" i="3"/>
  <c r="I208" i="3"/>
  <c r="F209" i="3"/>
  <c r="G209" i="3"/>
  <c r="H209" i="3"/>
  <c r="I209" i="3"/>
  <c r="F210" i="3"/>
  <c r="G210" i="3"/>
  <c r="H210" i="3"/>
  <c r="I210" i="3"/>
  <c r="F211" i="3"/>
  <c r="G211" i="3"/>
  <c r="H211" i="3"/>
  <c r="I211" i="3"/>
  <c r="F212" i="3"/>
  <c r="G212" i="3"/>
  <c r="H212" i="3"/>
  <c r="I212" i="3"/>
  <c r="F213" i="3"/>
  <c r="G213" i="3"/>
  <c r="H213" i="3"/>
  <c r="I213" i="3"/>
  <c r="F214" i="3"/>
  <c r="G214" i="3"/>
  <c r="H214" i="3"/>
  <c r="I214" i="3"/>
  <c r="F215" i="3"/>
  <c r="G215" i="3"/>
  <c r="H215" i="3"/>
  <c r="I215" i="3"/>
  <c r="F216" i="3"/>
  <c r="G216" i="3"/>
  <c r="H216" i="3"/>
  <c r="I216" i="3"/>
  <c r="F217" i="3"/>
  <c r="G217" i="3"/>
  <c r="H217" i="3"/>
  <c r="I217" i="3"/>
  <c r="F218" i="3"/>
  <c r="G218" i="3"/>
  <c r="H218" i="3"/>
  <c r="I218" i="3"/>
  <c r="F219" i="3"/>
  <c r="G219" i="3"/>
  <c r="H219" i="3"/>
  <c r="I219" i="3"/>
  <c r="F220" i="3"/>
  <c r="G220" i="3"/>
  <c r="H220" i="3"/>
  <c r="I220" i="3"/>
  <c r="F221" i="3"/>
  <c r="G221" i="3"/>
  <c r="H221" i="3"/>
  <c r="I221" i="3"/>
  <c r="F222" i="3"/>
  <c r="G222" i="3"/>
  <c r="H222" i="3"/>
  <c r="I222" i="3"/>
  <c r="F223" i="3"/>
  <c r="G223" i="3"/>
  <c r="H223" i="3"/>
  <c r="I223" i="3"/>
  <c r="F224" i="3"/>
  <c r="G224" i="3"/>
  <c r="H224" i="3"/>
  <c r="I224" i="3"/>
  <c r="F225" i="3"/>
  <c r="G225" i="3"/>
  <c r="H225" i="3"/>
  <c r="I225" i="3"/>
  <c r="F226" i="3"/>
  <c r="G226" i="3"/>
  <c r="H226" i="3"/>
  <c r="I226" i="3"/>
  <c r="F227" i="3"/>
  <c r="G227" i="3"/>
  <c r="H227" i="3"/>
  <c r="I227" i="3"/>
  <c r="F228" i="3"/>
  <c r="G228" i="3"/>
  <c r="H228" i="3"/>
  <c r="I228" i="3"/>
  <c r="F229" i="3"/>
  <c r="G229" i="3"/>
  <c r="H229" i="3"/>
  <c r="I229" i="3"/>
  <c r="F230" i="3"/>
  <c r="G230" i="3"/>
  <c r="H230" i="3"/>
  <c r="I230" i="3"/>
  <c r="F231" i="3"/>
  <c r="G231" i="3"/>
  <c r="H231" i="3"/>
  <c r="I231" i="3"/>
  <c r="F232" i="3"/>
  <c r="G232" i="3"/>
  <c r="H232" i="3"/>
  <c r="I232" i="3"/>
  <c r="F233" i="3"/>
  <c r="G233" i="3"/>
  <c r="H233" i="3"/>
  <c r="I233" i="3"/>
  <c r="F234" i="3"/>
  <c r="G234" i="3"/>
  <c r="H234" i="3"/>
  <c r="I234" i="3"/>
  <c r="F235" i="3"/>
  <c r="G235" i="3"/>
  <c r="H235" i="3"/>
  <c r="I235" i="3"/>
  <c r="F236" i="3"/>
  <c r="G236" i="3"/>
  <c r="H236" i="3"/>
  <c r="I236" i="3"/>
  <c r="F237" i="3"/>
  <c r="G237" i="3"/>
  <c r="H237" i="3"/>
  <c r="I237" i="3"/>
  <c r="F238" i="3"/>
  <c r="G238" i="3"/>
  <c r="H238" i="3"/>
  <c r="I238" i="3"/>
  <c r="F239" i="3"/>
  <c r="G239" i="3"/>
  <c r="H239" i="3"/>
  <c r="I239" i="3"/>
  <c r="F240" i="3"/>
  <c r="G240" i="3"/>
  <c r="H240" i="3"/>
  <c r="I240" i="3"/>
  <c r="F241" i="3"/>
  <c r="G241" i="3"/>
  <c r="H241" i="3"/>
  <c r="I241" i="3"/>
  <c r="F242" i="3"/>
  <c r="G242" i="3"/>
  <c r="H242" i="3"/>
  <c r="I242" i="3"/>
  <c r="F243" i="3"/>
  <c r="G243" i="3"/>
  <c r="H243" i="3"/>
  <c r="I243" i="3"/>
  <c r="F244" i="3"/>
  <c r="G244" i="3"/>
  <c r="H244" i="3"/>
  <c r="I244" i="3"/>
  <c r="F245" i="3"/>
  <c r="G245" i="3"/>
  <c r="H245" i="3"/>
  <c r="I245" i="3"/>
  <c r="F246" i="3"/>
  <c r="G246" i="3"/>
  <c r="H246" i="3"/>
  <c r="I246" i="3"/>
  <c r="F247" i="3"/>
  <c r="G247" i="3"/>
  <c r="H247" i="3"/>
  <c r="I247" i="3"/>
  <c r="F248" i="3"/>
  <c r="G248" i="3"/>
  <c r="H248" i="3"/>
  <c r="I248" i="3"/>
  <c r="F249" i="3"/>
  <c r="G249" i="3"/>
  <c r="H249" i="3"/>
  <c r="I249" i="3"/>
  <c r="F250" i="3"/>
  <c r="G250" i="3"/>
  <c r="H250" i="3"/>
  <c r="I250" i="3"/>
  <c r="F251" i="3"/>
  <c r="G251" i="3"/>
  <c r="H251" i="3"/>
  <c r="I251" i="3"/>
  <c r="F252" i="3"/>
  <c r="G252" i="3"/>
  <c r="H252" i="3"/>
  <c r="I252" i="3"/>
  <c r="F253" i="3"/>
  <c r="G253" i="3"/>
  <c r="H253" i="3"/>
  <c r="I253" i="3"/>
  <c r="F254" i="3"/>
  <c r="G254" i="3"/>
  <c r="H254" i="3"/>
  <c r="I254" i="3"/>
  <c r="F255" i="3"/>
  <c r="G255" i="3"/>
  <c r="H255" i="3"/>
  <c r="I255" i="3"/>
  <c r="F256" i="3"/>
  <c r="G256" i="3"/>
  <c r="H256" i="3"/>
  <c r="I256" i="3"/>
  <c r="F257" i="3"/>
  <c r="G257" i="3"/>
  <c r="H257" i="3"/>
  <c r="I257" i="3"/>
  <c r="F258" i="3"/>
  <c r="G258" i="3"/>
  <c r="H258" i="3"/>
  <c r="I258" i="3"/>
  <c r="F259" i="3"/>
  <c r="G259" i="3"/>
  <c r="H259" i="3"/>
  <c r="I259" i="3"/>
  <c r="F260" i="3"/>
  <c r="G260" i="3"/>
  <c r="H260" i="3"/>
  <c r="I260" i="3"/>
  <c r="F9" i="3"/>
  <c r="G9" i="3"/>
  <c r="H9" i="3"/>
  <c r="I9" i="3"/>
  <c r="E9" i="3"/>
  <c r="D22" i="6" l="1"/>
  <c r="D15" i="6"/>
  <c r="D16" i="6"/>
  <c r="AD17" i="1"/>
  <c r="AB15" i="1"/>
  <c r="AC17" i="1"/>
  <c r="AA15" i="1"/>
  <c r="AB17" i="1"/>
  <c r="AE14" i="1"/>
  <c r="AC14" i="1"/>
  <c r="AD16" i="1"/>
  <c r="AB14" i="1"/>
  <c r="AC16" i="1"/>
  <c r="AA14" i="1"/>
  <c r="AE16" i="1"/>
  <c r="AB16" i="1"/>
  <c r="AE13" i="1"/>
  <c r="AA17" i="1"/>
  <c r="AA16" i="1"/>
  <c r="AD13" i="1"/>
  <c r="AD14" i="1"/>
  <c r="AE15" i="1"/>
  <c r="AC13" i="1"/>
  <c r="AD15" i="1"/>
  <c r="AB13" i="1"/>
  <c r="AE17" i="1"/>
  <c r="AC15" i="1"/>
  <c r="N5" i="1" l="1"/>
  <c r="N6" i="1" s="1"/>
  <c r="P5" i="1"/>
  <c r="P6" i="1" s="1"/>
  <c r="M5" i="1"/>
  <c r="M6" i="1" s="1"/>
  <c r="N12" i="1"/>
  <c r="O12" i="1"/>
  <c r="P12" i="1"/>
  <c r="Q12" i="1"/>
  <c r="N13" i="1"/>
  <c r="O13" i="1"/>
  <c r="P13" i="1"/>
  <c r="Q13" i="1"/>
  <c r="N14" i="1"/>
  <c r="O14" i="1"/>
  <c r="P14" i="1"/>
  <c r="Q14" i="1"/>
  <c r="N15" i="1"/>
  <c r="O15" i="1"/>
  <c r="P15" i="1"/>
  <c r="Q15" i="1"/>
  <c r="N16" i="1"/>
  <c r="O16" i="1"/>
  <c r="P16" i="1"/>
  <c r="Q16" i="1"/>
  <c r="N17" i="1"/>
  <c r="O17" i="1"/>
  <c r="P17" i="1"/>
  <c r="Q17" i="1"/>
  <c r="N18" i="1"/>
  <c r="O18" i="1"/>
  <c r="P18" i="1"/>
  <c r="Q18" i="1"/>
  <c r="N19" i="1"/>
  <c r="O19" i="1"/>
  <c r="P19" i="1"/>
  <c r="Q19" i="1"/>
  <c r="N20" i="1"/>
  <c r="O20" i="1"/>
  <c r="P20" i="1"/>
  <c r="Q20" i="1"/>
  <c r="N21" i="1"/>
  <c r="O21" i="1"/>
  <c r="P21" i="1"/>
  <c r="Q21" i="1"/>
  <c r="N22" i="1"/>
  <c r="O22" i="1"/>
  <c r="P22" i="1"/>
  <c r="Q22" i="1"/>
  <c r="N23" i="1"/>
  <c r="O23" i="1"/>
  <c r="P23" i="1"/>
  <c r="Q23" i="1"/>
  <c r="N24" i="1"/>
  <c r="O24" i="1"/>
  <c r="P24" i="1"/>
  <c r="Q24" i="1"/>
  <c r="N25" i="1"/>
  <c r="O25" i="1"/>
  <c r="P25" i="1"/>
  <c r="Q25" i="1"/>
  <c r="N26" i="1"/>
  <c r="O26" i="1"/>
  <c r="P26" i="1"/>
  <c r="Q26" i="1"/>
  <c r="N27" i="1"/>
  <c r="O27" i="1"/>
  <c r="P27" i="1"/>
  <c r="Q27" i="1"/>
  <c r="N28" i="1"/>
  <c r="O28" i="1"/>
  <c r="P28" i="1"/>
  <c r="Q28" i="1"/>
  <c r="N29" i="1"/>
  <c r="O29" i="1"/>
  <c r="P29" i="1"/>
  <c r="Q29" i="1"/>
  <c r="N30" i="1"/>
  <c r="O30" i="1"/>
  <c r="P30" i="1"/>
  <c r="Q30" i="1"/>
  <c r="N31" i="1"/>
  <c r="O31" i="1"/>
  <c r="P31" i="1"/>
  <c r="Q31" i="1"/>
  <c r="N32" i="1"/>
  <c r="O32" i="1"/>
  <c r="P32" i="1"/>
  <c r="Q32" i="1"/>
  <c r="N33" i="1"/>
  <c r="O33" i="1"/>
  <c r="P33" i="1"/>
  <c r="Q33" i="1"/>
  <c r="N34" i="1"/>
  <c r="O34" i="1"/>
  <c r="P34" i="1"/>
  <c r="Q34" i="1"/>
  <c r="N35" i="1"/>
  <c r="O35" i="1"/>
  <c r="P35" i="1"/>
  <c r="Q35" i="1"/>
  <c r="N36" i="1"/>
  <c r="O36" i="1"/>
  <c r="P36" i="1"/>
  <c r="Q36" i="1"/>
  <c r="N37" i="1"/>
  <c r="O37" i="1"/>
  <c r="P37" i="1"/>
  <c r="Q37" i="1"/>
  <c r="N38" i="1"/>
  <c r="O38" i="1"/>
  <c r="P38" i="1"/>
  <c r="Q38" i="1"/>
  <c r="N39" i="1"/>
  <c r="O39" i="1"/>
  <c r="P39" i="1"/>
  <c r="Q39" i="1"/>
  <c r="N40" i="1"/>
  <c r="O40" i="1"/>
  <c r="P40" i="1"/>
  <c r="Q40" i="1"/>
  <c r="N41" i="1"/>
  <c r="O41" i="1"/>
  <c r="P41" i="1"/>
  <c r="Q41" i="1"/>
  <c r="N42" i="1"/>
  <c r="O42" i="1"/>
  <c r="P42" i="1"/>
  <c r="Q42" i="1"/>
  <c r="N43" i="1"/>
  <c r="O43" i="1"/>
  <c r="P43" i="1"/>
  <c r="Q43" i="1"/>
  <c r="N44" i="1"/>
  <c r="O44" i="1"/>
  <c r="P44" i="1"/>
  <c r="Q44" i="1"/>
  <c r="N45" i="1"/>
  <c r="O45" i="1"/>
  <c r="P45" i="1"/>
  <c r="Q45" i="1"/>
  <c r="N46" i="1"/>
  <c r="O46" i="1"/>
  <c r="P46" i="1"/>
  <c r="Q46" i="1"/>
  <c r="N47" i="1"/>
  <c r="O47" i="1"/>
  <c r="P47" i="1"/>
  <c r="Q47" i="1"/>
  <c r="N48" i="1"/>
  <c r="O48" i="1"/>
  <c r="P48" i="1"/>
  <c r="Q48" i="1"/>
  <c r="N49" i="1"/>
  <c r="O49" i="1"/>
  <c r="P49" i="1"/>
  <c r="Q49" i="1"/>
  <c r="N50" i="1"/>
  <c r="O50" i="1"/>
  <c r="P50" i="1"/>
  <c r="Q50" i="1"/>
  <c r="N51" i="1"/>
  <c r="O51" i="1"/>
  <c r="P51" i="1"/>
  <c r="Q51" i="1"/>
  <c r="N52" i="1"/>
  <c r="O52" i="1"/>
  <c r="P52" i="1"/>
  <c r="Q52" i="1"/>
  <c r="N53" i="1"/>
  <c r="O53" i="1"/>
  <c r="P53" i="1"/>
  <c r="Q53" i="1"/>
  <c r="N54" i="1"/>
  <c r="O54" i="1"/>
  <c r="P54" i="1"/>
  <c r="Q54" i="1"/>
  <c r="N55" i="1"/>
  <c r="O55" i="1"/>
  <c r="P55" i="1"/>
  <c r="Q55" i="1"/>
  <c r="N56" i="1"/>
  <c r="O56" i="1"/>
  <c r="P56" i="1"/>
  <c r="Q56" i="1"/>
  <c r="N57" i="1"/>
  <c r="O57" i="1"/>
  <c r="P57" i="1"/>
  <c r="Q57" i="1"/>
  <c r="N58" i="1"/>
  <c r="O58" i="1"/>
  <c r="P58" i="1"/>
  <c r="Q58" i="1"/>
  <c r="N59" i="1"/>
  <c r="O59" i="1"/>
  <c r="P59" i="1"/>
  <c r="Q59" i="1"/>
  <c r="N60" i="1"/>
  <c r="O60" i="1"/>
  <c r="P60" i="1"/>
  <c r="Q60" i="1"/>
  <c r="N61" i="1"/>
  <c r="O61" i="1"/>
  <c r="P61" i="1"/>
  <c r="Q61" i="1"/>
  <c r="N62" i="1"/>
  <c r="O62" i="1"/>
  <c r="P62" i="1"/>
  <c r="Q62" i="1"/>
  <c r="N63" i="1"/>
  <c r="O63" i="1"/>
  <c r="P63" i="1"/>
  <c r="Q63" i="1"/>
  <c r="N64" i="1"/>
  <c r="O64" i="1"/>
  <c r="P64" i="1"/>
  <c r="Q64" i="1"/>
  <c r="N65" i="1"/>
  <c r="O65" i="1"/>
  <c r="P65" i="1"/>
  <c r="Q65" i="1"/>
  <c r="N66" i="1"/>
  <c r="O66" i="1"/>
  <c r="P66" i="1"/>
  <c r="Q66" i="1"/>
  <c r="N67" i="1"/>
  <c r="O67" i="1"/>
  <c r="P67" i="1"/>
  <c r="Q67" i="1"/>
  <c r="N68" i="1"/>
  <c r="O68" i="1"/>
  <c r="P68" i="1"/>
  <c r="Q68" i="1"/>
  <c r="N69" i="1"/>
  <c r="O69" i="1"/>
  <c r="P69" i="1"/>
  <c r="Q69" i="1"/>
  <c r="N70" i="1"/>
  <c r="O70" i="1"/>
  <c r="P70" i="1"/>
  <c r="Q70" i="1"/>
  <c r="N71" i="1"/>
  <c r="O71" i="1"/>
  <c r="P71" i="1"/>
  <c r="Q71" i="1"/>
  <c r="N72" i="1"/>
  <c r="O72" i="1"/>
  <c r="P72" i="1"/>
  <c r="Q72" i="1"/>
  <c r="N73" i="1"/>
  <c r="O73" i="1"/>
  <c r="P73" i="1"/>
  <c r="Q73" i="1"/>
  <c r="N74" i="1"/>
  <c r="O74" i="1"/>
  <c r="P74" i="1"/>
  <c r="Q74" i="1"/>
  <c r="N75" i="1"/>
  <c r="O75" i="1"/>
  <c r="P75" i="1"/>
  <c r="Q75" i="1"/>
  <c r="N76" i="1"/>
  <c r="O76" i="1"/>
  <c r="P76" i="1"/>
  <c r="Q76" i="1"/>
  <c r="N77" i="1"/>
  <c r="O77" i="1"/>
  <c r="P77" i="1"/>
  <c r="Q77" i="1"/>
  <c r="N78" i="1"/>
  <c r="O78" i="1"/>
  <c r="P78" i="1"/>
  <c r="Q78" i="1"/>
  <c r="N79" i="1"/>
  <c r="O79" i="1"/>
  <c r="P79" i="1"/>
  <c r="Q79" i="1"/>
  <c r="N80" i="1"/>
  <c r="O80" i="1"/>
  <c r="P80" i="1"/>
  <c r="Q80" i="1"/>
  <c r="N81" i="1"/>
  <c r="O81" i="1"/>
  <c r="P81" i="1"/>
  <c r="Q81" i="1"/>
  <c r="N82" i="1"/>
  <c r="O82" i="1"/>
  <c r="P82" i="1"/>
  <c r="Q82" i="1"/>
  <c r="N83" i="1"/>
  <c r="O83" i="1"/>
  <c r="P83" i="1"/>
  <c r="Q83" i="1"/>
  <c r="N84" i="1"/>
  <c r="O84" i="1"/>
  <c r="P84" i="1"/>
  <c r="Q84" i="1"/>
  <c r="N85" i="1"/>
  <c r="O85" i="1"/>
  <c r="P85" i="1"/>
  <c r="Q85" i="1"/>
  <c r="N86" i="1"/>
  <c r="O86" i="1"/>
  <c r="P86" i="1"/>
  <c r="Q86" i="1"/>
  <c r="N87" i="1"/>
  <c r="O87" i="1"/>
  <c r="P87" i="1"/>
  <c r="Q87" i="1"/>
  <c r="N88" i="1"/>
  <c r="O88" i="1"/>
  <c r="P88" i="1"/>
  <c r="Q88" i="1"/>
  <c r="N89" i="1"/>
  <c r="O89" i="1"/>
  <c r="P89" i="1"/>
  <c r="Q89" i="1"/>
  <c r="N90" i="1"/>
  <c r="O90" i="1"/>
  <c r="P90" i="1"/>
  <c r="Q90" i="1"/>
  <c r="N91" i="1"/>
  <c r="O91" i="1"/>
  <c r="P91" i="1"/>
  <c r="Q91" i="1"/>
  <c r="N92" i="1"/>
  <c r="O92" i="1"/>
  <c r="P92" i="1"/>
  <c r="Q92" i="1"/>
  <c r="N93" i="1"/>
  <c r="O93" i="1"/>
  <c r="P93" i="1"/>
  <c r="Q93" i="1"/>
  <c r="N94" i="1"/>
  <c r="O94" i="1"/>
  <c r="P94" i="1"/>
  <c r="Q94" i="1"/>
  <c r="N95" i="1"/>
  <c r="O95" i="1"/>
  <c r="P95" i="1"/>
  <c r="Q95" i="1"/>
  <c r="N96" i="1"/>
  <c r="O96" i="1"/>
  <c r="P96" i="1"/>
  <c r="Q96" i="1"/>
  <c r="N97" i="1"/>
  <c r="O97" i="1"/>
  <c r="P97" i="1"/>
  <c r="Q97" i="1"/>
  <c r="N98" i="1"/>
  <c r="O98" i="1"/>
  <c r="P98" i="1"/>
  <c r="Q98" i="1"/>
  <c r="N99" i="1"/>
  <c r="O99" i="1"/>
  <c r="P99" i="1"/>
  <c r="Q99" i="1"/>
  <c r="N100" i="1"/>
  <c r="O100" i="1"/>
  <c r="P100" i="1"/>
  <c r="Q100" i="1"/>
  <c r="N101" i="1"/>
  <c r="O101" i="1"/>
  <c r="P101" i="1"/>
  <c r="Q101" i="1"/>
  <c r="N102" i="1"/>
  <c r="O102" i="1"/>
  <c r="P102" i="1"/>
  <c r="Q102" i="1"/>
  <c r="N103" i="1"/>
  <c r="O103" i="1"/>
  <c r="P103" i="1"/>
  <c r="Q103" i="1"/>
  <c r="N104" i="1"/>
  <c r="O104" i="1"/>
  <c r="P104" i="1"/>
  <c r="Q104" i="1"/>
  <c r="N105" i="1"/>
  <c r="O105" i="1"/>
  <c r="P105" i="1"/>
  <c r="Q105" i="1"/>
  <c r="N106" i="1"/>
  <c r="O106" i="1"/>
  <c r="P106" i="1"/>
  <c r="Q106" i="1"/>
  <c r="N107" i="1"/>
  <c r="O107" i="1"/>
  <c r="P107" i="1"/>
  <c r="Q107" i="1"/>
  <c r="N108" i="1"/>
  <c r="O108" i="1"/>
  <c r="P108" i="1"/>
  <c r="Q108" i="1"/>
  <c r="N109" i="1"/>
  <c r="O109" i="1"/>
  <c r="P109" i="1"/>
  <c r="Q109" i="1"/>
  <c r="N110" i="1"/>
  <c r="O110" i="1"/>
  <c r="P110" i="1"/>
  <c r="Q110" i="1"/>
  <c r="N111" i="1"/>
  <c r="O111" i="1"/>
  <c r="P111" i="1"/>
  <c r="Q111" i="1"/>
  <c r="N112" i="1"/>
  <c r="O112" i="1"/>
  <c r="P112" i="1"/>
  <c r="Q112" i="1"/>
  <c r="N113" i="1"/>
  <c r="O113" i="1"/>
  <c r="P113" i="1"/>
  <c r="Q113" i="1"/>
  <c r="N114" i="1"/>
  <c r="O114" i="1"/>
  <c r="P114" i="1"/>
  <c r="Q114" i="1"/>
  <c r="N115" i="1"/>
  <c r="O115" i="1"/>
  <c r="P115" i="1"/>
  <c r="Q115" i="1"/>
  <c r="N116" i="1"/>
  <c r="O116" i="1"/>
  <c r="P116" i="1"/>
  <c r="Q116" i="1"/>
  <c r="N117" i="1"/>
  <c r="O117" i="1"/>
  <c r="P117" i="1"/>
  <c r="Q117" i="1"/>
  <c r="N118" i="1"/>
  <c r="O118" i="1"/>
  <c r="P118" i="1"/>
  <c r="Q118" i="1"/>
  <c r="N119" i="1"/>
  <c r="O119" i="1"/>
  <c r="P119" i="1"/>
  <c r="Q119" i="1"/>
  <c r="N120" i="1"/>
  <c r="O120" i="1"/>
  <c r="P120" i="1"/>
  <c r="Q120" i="1"/>
  <c r="N121" i="1"/>
  <c r="O121" i="1"/>
  <c r="P121" i="1"/>
  <c r="Q121" i="1"/>
  <c r="N122" i="1"/>
  <c r="O122" i="1"/>
  <c r="P122" i="1"/>
  <c r="Q122" i="1"/>
  <c r="N123" i="1"/>
  <c r="O123" i="1"/>
  <c r="P123" i="1"/>
  <c r="Q123" i="1"/>
  <c r="N124" i="1"/>
  <c r="O124" i="1"/>
  <c r="P124" i="1"/>
  <c r="Q124" i="1"/>
  <c r="N125" i="1"/>
  <c r="O125" i="1"/>
  <c r="P125" i="1"/>
  <c r="Q125" i="1"/>
  <c r="N126" i="1"/>
  <c r="O126" i="1"/>
  <c r="P126" i="1"/>
  <c r="Q126" i="1"/>
  <c r="N127" i="1"/>
  <c r="O127" i="1"/>
  <c r="P127" i="1"/>
  <c r="Q127" i="1"/>
  <c r="N128" i="1"/>
  <c r="O128" i="1"/>
  <c r="P128" i="1"/>
  <c r="Q128" i="1"/>
  <c r="N129" i="1"/>
  <c r="O129" i="1"/>
  <c r="P129" i="1"/>
  <c r="Q129" i="1"/>
  <c r="N130" i="1"/>
  <c r="O130" i="1"/>
  <c r="P130" i="1"/>
  <c r="Q130" i="1"/>
  <c r="N131" i="1"/>
  <c r="O131" i="1"/>
  <c r="P131" i="1"/>
  <c r="Q131" i="1"/>
  <c r="N132" i="1"/>
  <c r="O132" i="1"/>
  <c r="P132" i="1"/>
  <c r="Q132" i="1"/>
  <c r="N133" i="1"/>
  <c r="O133" i="1"/>
  <c r="P133" i="1"/>
  <c r="Q133" i="1"/>
  <c r="N134" i="1"/>
  <c r="O134" i="1"/>
  <c r="P134" i="1"/>
  <c r="Q134" i="1"/>
  <c r="N135" i="1"/>
  <c r="O135" i="1"/>
  <c r="P135" i="1"/>
  <c r="Q135" i="1"/>
  <c r="N136" i="1"/>
  <c r="O136" i="1"/>
  <c r="P136" i="1"/>
  <c r="Q136" i="1"/>
  <c r="N137" i="1"/>
  <c r="O137" i="1"/>
  <c r="P137" i="1"/>
  <c r="Q137" i="1"/>
  <c r="N138" i="1"/>
  <c r="O138" i="1"/>
  <c r="P138" i="1"/>
  <c r="Q138" i="1"/>
  <c r="N139" i="1"/>
  <c r="O139" i="1"/>
  <c r="P139" i="1"/>
  <c r="Q139" i="1"/>
  <c r="N140" i="1"/>
  <c r="O140" i="1"/>
  <c r="P140" i="1"/>
  <c r="Q140" i="1"/>
  <c r="N141" i="1"/>
  <c r="O141" i="1"/>
  <c r="P141" i="1"/>
  <c r="Q141" i="1"/>
  <c r="N142" i="1"/>
  <c r="O142" i="1"/>
  <c r="P142" i="1"/>
  <c r="Q142" i="1"/>
  <c r="N143" i="1"/>
  <c r="O143" i="1"/>
  <c r="P143" i="1"/>
  <c r="Q143" i="1"/>
  <c r="N144" i="1"/>
  <c r="O144" i="1"/>
  <c r="P144" i="1"/>
  <c r="Q144" i="1"/>
  <c r="N145" i="1"/>
  <c r="O145" i="1"/>
  <c r="P145" i="1"/>
  <c r="Q145" i="1"/>
  <c r="N146" i="1"/>
  <c r="O146" i="1"/>
  <c r="P146" i="1"/>
  <c r="Q146" i="1"/>
  <c r="N147" i="1"/>
  <c r="O147" i="1"/>
  <c r="P147" i="1"/>
  <c r="Q147" i="1"/>
  <c r="N148" i="1"/>
  <c r="O148" i="1"/>
  <c r="P148" i="1"/>
  <c r="Q148" i="1"/>
  <c r="N149" i="1"/>
  <c r="O149" i="1"/>
  <c r="P149" i="1"/>
  <c r="Q149" i="1"/>
  <c r="N150" i="1"/>
  <c r="O150" i="1"/>
  <c r="P150" i="1"/>
  <c r="Q150" i="1"/>
  <c r="N151" i="1"/>
  <c r="O151" i="1"/>
  <c r="P151" i="1"/>
  <c r="Q151" i="1"/>
  <c r="N152" i="1"/>
  <c r="O152" i="1"/>
  <c r="P152" i="1"/>
  <c r="Q152" i="1"/>
  <c r="N153" i="1"/>
  <c r="O153" i="1"/>
  <c r="P153" i="1"/>
  <c r="Q153" i="1"/>
  <c r="N154" i="1"/>
  <c r="O154" i="1"/>
  <c r="P154" i="1"/>
  <c r="Q154" i="1"/>
  <c r="N155" i="1"/>
  <c r="O155" i="1"/>
  <c r="P155" i="1"/>
  <c r="Q155" i="1"/>
  <c r="N156" i="1"/>
  <c r="O156" i="1"/>
  <c r="P156" i="1"/>
  <c r="Q156" i="1"/>
  <c r="N157" i="1"/>
  <c r="O157" i="1"/>
  <c r="P157" i="1"/>
  <c r="Q157" i="1"/>
  <c r="N158" i="1"/>
  <c r="O158" i="1"/>
  <c r="P158" i="1"/>
  <c r="Q158" i="1"/>
  <c r="N159" i="1"/>
  <c r="O159" i="1"/>
  <c r="P159" i="1"/>
  <c r="Q159" i="1"/>
  <c r="N160" i="1"/>
  <c r="O160" i="1"/>
  <c r="P160" i="1"/>
  <c r="Q160" i="1"/>
  <c r="N161" i="1"/>
  <c r="O161" i="1"/>
  <c r="P161" i="1"/>
  <c r="Q161" i="1"/>
  <c r="N162" i="1"/>
  <c r="O162" i="1"/>
  <c r="P162" i="1"/>
  <c r="Q162" i="1"/>
  <c r="N163" i="1"/>
  <c r="O163" i="1"/>
  <c r="P163" i="1"/>
  <c r="Q163" i="1"/>
  <c r="N164" i="1"/>
  <c r="O164" i="1"/>
  <c r="P164" i="1"/>
  <c r="Q164" i="1"/>
  <c r="N165" i="1"/>
  <c r="O165" i="1"/>
  <c r="P165" i="1"/>
  <c r="Q165" i="1"/>
  <c r="N166" i="1"/>
  <c r="O166" i="1"/>
  <c r="P166" i="1"/>
  <c r="Q166" i="1"/>
  <c r="N167" i="1"/>
  <c r="O167" i="1"/>
  <c r="P167" i="1"/>
  <c r="Q167" i="1"/>
  <c r="N168" i="1"/>
  <c r="O168" i="1"/>
  <c r="P168" i="1"/>
  <c r="Q168" i="1"/>
  <c r="N169" i="1"/>
  <c r="O169" i="1"/>
  <c r="P169" i="1"/>
  <c r="Q169" i="1"/>
  <c r="N170" i="1"/>
  <c r="O170" i="1"/>
  <c r="P170" i="1"/>
  <c r="Q170" i="1"/>
  <c r="N171" i="1"/>
  <c r="O171" i="1"/>
  <c r="P171" i="1"/>
  <c r="Q171" i="1"/>
  <c r="N172" i="1"/>
  <c r="O172" i="1"/>
  <c r="P172" i="1"/>
  <c r="Q172" i="1"/>
  <c r="N173" i="1"/>
  <c r="O173" i="1"/>
  <c r="P173" i="1"/>
  <c r="Q173" i="1"/>
  <c r="N174" i="1"/>
  <c r="O174" i="1"/>
  <c r="P174" i="1"/>
  <c r="Q174" i="1"/>
  <c r="N175" i="1"/>
  <c r="O175" i="1"/>
  <c r="P175" i="1"/>
  <c r="Q175" i="1"/>
  <c r="N176" i="1"/>
  <c r="O176" i="1"/>
  <c r="P176" i="1"/>
  <c r="Q176" i="1"/>
  <c r="N177" i="1"/>
  <c r="O177" i="1"/>
  <c r="P177" i="1"/>
  <c r="Q177" i="1"/>
  <c r="N178" i="1"/>
  <c r="O178" i="1"/>
  <c r="P178" i="1"/>
  <c r="Q178" i="1"/>
  <c r="N179" i="1"/>
  <c r="O179" i="1"/>
  <c r="P179" i="1"/>
  <c r="Q179" i="1"/>
  <c r="N180" i="1"/>
  <c r="O180" i="1"/>
  <c r="P180" i="1"/>
  <c r="Q180" i="1"/>
  <c r="N181" i="1"/>
  <c r="O181" i="1"/>
  <c r="P181" i="1"/>
  <c r="Q181" i="1"/>
  <c r="N182" i="1"/>
  <c r="O182" i="1"/>
  <c r="P182" i="1"/>
  <c r="Q182" i="1"/>
  <c r="N183" i="1"/>
  <c r="O183" i="1"/>
  <c r="P183" i="1"/>
  <c r="Q183" i="1"/>
  <c r="N184" i="1"/>
  <c r="O184" i="1"/>
  <c r="P184" i="1"/>
  <c r="Q184" i="1"/>
  <c r="N185" i="1"/>
  <c r="O185" i="1"/>
  <c r="P185" i="1"/>
  <c r="Q185" i="1"/>
  <c r="N186" i="1"/>
  <c r="O186" i="1"/>
  <c r="P186" i="1"/>
  <c r="Q186" i="1"/>
  <c r="N187" i="1"/>
  <c r="O187" i="1"/>
  <c r="P187" i="1"/>
  <c r="Q187" i="1"/>
  <c r="N188" i="1"/>
  <c r="O188" i="1"/>
  <c r="P188" i="1"/>
  <c r="Q188" i="1"/>
  <c r="N189" i="1"/>
  <c r="O189" i="1"/>
  <c r="P189" i="1"/>
  <c r="Q189" i="1"/>
  <c r="N190" i="1"/>
  <c r="O190" i="1"/>
  <c r="P190" i="1"/>
  <c r="Q190" i="1"/>
  <c r="N191" i="1"/>
  <c r="O191" i="1"/>
  <c r="P191" i="1"/>
  <c r="Q191" i="1"/>
  <c r="N192" i="1"/>
  <c r="O192" i="1"/>
  <c r="P192" i="1"/>
  <c r="Q192" i="1"/>
  <c r="N193" i="1"/>
  <c r="O193" i="1"/>
  <c r="P193" i="1"/>
  <c r="Q193" i="1"/>
  <c r="N194" i="1"/>
  <c r="O194" i="1"/>
  <c r="P194" i="1"/>
  <c r="Q194" i="1"/>
  <c r="N195" i="1"/>
  <c r="O195" i="1"/>
  <c r="P195" i="1"/>
  <c r="Q195" i="1"/>
  <c r="N196" i="1"/>
  <c r="O196" i="1"/>
  <c r="P196" i="1"/>
  <c r="Q196" i="1"/>
  <c r="N197" i="1"/>
  <c r="O197" i="1"/>
  <c r="P197" i="1"/>
  <c r="Q197" i="1"/>
  <c r="N198" i="1"/>
  <c r="O198" i="1"/>
  <c r="P198" i="1"/>
  <c r="Q198" i="1"/>
  <c r="N199" i="1"/>
  <c r="O199" i="1"/>
  <c r="P199" i="1"/>
  <c r="Q199" i="1"/>
  <c r="N200" i="1"/>
  <c r="O200" i="1"/>
  <c r="P200" i="1"/>
  <c r="Q200" i="1"/>
  <c r="N201" i="1"/>
  <c r="O201" i="1"/>
  <c r="P201" i="1"/>
  <c r="Q201" i="1"/>
  <c r="N202" i="1"/>
  <c r="O202" i="1"/>
  <c r="P202" i="1"/>
  <c r="Q202" i="1"/>
  <c r="N203" i="1"/>
  <c r="O203" i="1"/>
  <c r="P203" i="1"/>
  <c r="Q203" i="1"/>
  <c r="N204" i="1"/>
  <c r="O204" i="1"/>
  <c r="P204" i="1"/>
  <c r="Q204" i="1"/>
  <c r="N205" i="1"/>
  <c r="O205" i="1"/>
  <c r="P205" i="1"/>
  <c r="Q205" i="1"/>
  <c r="N206" i="1"/>
  <c r="O206" i="1"/>
  <c r="P206" i="1"/>
  <c r="Q206" i="1"/>
  <c r="N207" i="1"/>
  <c r="O207" i="1"/>
  <c r="P207" i="1"/>
  <c r="Q207" i="1"/>
  <c r="N208" i="1"/>
  <c r="O208" i="1"/>
  <c r="P208" i="1"/>
  <c r="Q208" i="1"/>
  <c r="N209" i="1"/>
  <c r="O209" i="1"/>
  <c r="P209" i="1"/>
  <c r="Q209" i="1"/>
  <c r="N210" i="1"/>
  <c r="O210" i="1"/>
  <c r="P210" i="1"/>
  <c r="Q210" i="1"/>
  <c r="N211" i="1"/>
  <c r="O211" i="1"/>
  <c r="P211" i="1"/>
  <c r="Q211" i="1"/>
  <c r="N212" i="1"/>
  <c r="O212" i="1"/>
  <c r="P212" i="1"/>
  <c r="Q212" i="1"/>
  <c r="N213" i="1"/>
  <c r="O213" i="1"/>
  <c r="P213" i="1"/>
  <c r="Q213" i="1"/>
  <c r="N214" i="1"/>
  <c r="O214" i="1"/>
  <c r="P214" i="1"/>
  <c r="Q214" i="1"/>
  <c r="N215" i="1"/>
  <c r="O215" i="1"/>
  <c r="P215" i="1"/>
  <c r="Q215" i="1"/>
  <c r="N216" i="1"/>
  <c r="O216" i="1"/>
  <c r="P216" i="1"/>
  <c r="Q216" i="1"/>
  <c r="N217" i="1"/>
  <c r="O217" i="1"/>
  <c r="P217" i="1"/>
  <c r="Q217" i="1"/>
  <c r="N218" i="1"/>
  <c r="O218" i="1"/>
  <c r="P218" i="1"/>
  <c r="Q218" i="1"/>
  <c r="N219" i="1"/>
  <c r="O219" i="1"/>
  <c r="P219" i="1"/>
  <c r="Q219" i="1"/>
  <c r="N220" i="1"/>
  <c r="O220" i="1"/>
  <c r="P220" i="1"/>
  <c r="Q220" i="1"/>
  <c r="N221" i="1"/>
  <c r="O221" i="1"/>
  <c r="P221" i="1"/>
  <c r="Q221" i="1"/>
  <c r="N222" i="1"/>
  <c r="O222" i="1"/>
  <c r="P222" i="1"/>
  <c r="Q222" i="1"/>
  <c r="N223" i="1"/>
  <c r="O223" i="1"/>
  <c r="P223" i="1"/>
  <c r="Q223" i="1"/>
  <c r="N224" i="1"/>
  <c r="O224" i="1"/>
  <c r="P224" i="1"/>
  <c r="Q224" i="1"/>
  <c r="N225" i="1"/>
  <c r="O225" i="1"/>
  <c r="P225" i="1"/>
  <c r="Q225" i="1"/>
  <c r="N226" i="1"/>
  <c r="O226" i="1"/>
  <c r="P226" i="1"/>
  <c r="Q226" i="1"/>
  <c r="N227" i="1"/>
  <c r="O227" i="1"/>
  <c r="P227" i="1"/>
  <c r="Q227" i="1"/>
  <c r="N228" i="1"/>
  <c r="O228" i="1"/>
  <c r="P228" i="1"/>
  <c r="Q228" i="1"/>
  <c r="N229" i="1"/>
  <c r="O229" i="1"/>
  <c r="P229" i="1"/>
  <c r="Q229" i="1"/>
  <c r="N230" i="1"/>
  <c r="O230" i="1"/>
  <c r="P230" i="1"/>
  <c r="Q230" i="1"/>
  <c r="N231" i="1"/>
  <c r="O231" i="1"/>
  <c r="P231" i="1"/>
  <c r="Q231" i="1"/>
  <c r="N232" i="1"/>
  <c r="O232" i="1"/>
  <c r="P232" i="1"/>
  <c r="Q232" i="1"/>
  <c r="N233" i="1"/>
  <c r="O233" i="1"/>
  <c r="P233" i="1"/>
  <c r="Q233" i="1"/>
  <c r="N234" i="1"/>
  <c r="O234" i="1"/>
  <c r="P234" i="1"/>
  <c r="Q234" i="1"/>
  <c r="N235" i="1"/>
  <c r="O235" i="1"/>
  <c r="P235" i="1"/>
  <c r="Q235" i="1"/>
  <c r="N236" i="1"/>
  <c r="O236" i="1"/>
  <c r="P236" i="1"/>
  <c r="Q236" i="1"/>
  <c r="N237" i="1"/>
  <c r="O237" i="1"/>
  <c r="P237" i="1"/>
  <c r="Q237" i="1"/>
  <c r="N238" i="1"/>
  <c r="O238" i="1"/>
  <c r="P238" i="1"/>
  <c r="Q238" i="1"/>
  <c r="N239" i="1"/>
  <c r="O239" i="1"/>
  <c r="P239" i="1"/>
  <c r="Q239" i="1"/>
  <c r="N240" i="1"/>
  <c r="O240" i="1"/>
  <c r="P240" i="1"/>
  <c r="Q240" i="1"/>
  <c r="N241" i="1"/>
  <c r="O241" i="1"/>
  <c r="P241" i="1"/>
  <c r="Q241" i="1"/>
  <c r="N242" i="1"/>
  <c r="O242" i="1"/>
  <c r="P242" i="1"/>
  <c r="Q242" i="1"/>
  <c r="N243" i="1"/>
  <c r="O243" i="1"/>
  <c r="P243" i="1"/>
  <c r="Q243" i="1"/>
  <c r="N244" i="1"/>
  <c r="O244" i="1"/>
  <c r="P244" i="1"/>
  <c r="Q244" i="1"/>
  <c r="N245" i="1"/>
  <c r="O245" i="1"/>
  <c r="P245" i="1"/>
  <c r="Q245" i="1"/>
  <c r="N246" i="1"/>
  <c r="O246" i="1"/>
  <c r="P246" i="1"/>
  <c r="Q246" i="1"/>
  <c r="N247" i="1"/>
  <c r="O247" i="1"/>
  <c r="P247" i="1"/>
  <c r="Q247" i="1"/>
  <c r="N248" i="1"/>
  <c r="O248" i="1"/>
  <c r="P248" i="1"/>
  <c r="Q248" i="1"/>
  <c r="N249" i="1"/>
  <c r="O249" i="1"/>
  <c r="P249" i="1"/>
  <c r="Q249" i="1"/>
  <c r="N250" i="1"/>
  <c r="O250" i="1"/>
  <c r="P250" i="1"/>
  <c r="Q250" i="1"/>
  <c r="N251" i="1"/>
  <c r="O251" i="1"/>
  <c r="P251" i="1"/>
  <c r="Q251" i="1"/>
  <c r="N252" i="1"/>
  <c r="O252" i="1"/>
  <c r="P252" i="1"/>
  <c r="Q252" i="1"/>
  <c r="N253" i="1"/>
  <c r="O253" i="1"/>
  <c r="P253" i="1"/>
  <c r="Q253" i="1"/>
  <c r="N254" i="1"/>
  <c r="O254" i="1"/>
  <c r="P254" i="1"/>
  <c r="Q254" i="1"/>
  <c r="N255" i="1"/>
  <c r="O255" i="1"/>
  <c r="P255" i="1"/>
  <c r="Q255" i="1"/>
  <c r="N256" i="1"/>
  <c r="O256" i="1"/>
  <c r="P256" i="1"/>
  <c r="Q256" i="1"/>
  <c r="N257" i="1"/>
  <c r="O257" i="1"/>
  <c r="P257" i="1"/>
  <c r="Q257" i="1"/>
  <c r="N258" i="1"/>
  <c r="O258" i="1"/>
  <c r="P258" i="1"/>
  <c r="Q258" i="1"/>
  <c r="N259" i="1"/>
  <c r="O259" i="1"/>
  <c r="P259" i="1"/>
  <c r="Q259" i="1"/>
  <c r="N260" i="1"/>
  <c r="O260" i="1"/>
  <c r="P260" i="1"/>
  <c r="Q260" i="1"/>
  <c r="N261" i="1"/>
  <c r="O261" i="1"/>
  <c r="P261" i="1"/>
  <c r="Q261" i="1"/>
  <c r="N262" i="1"/>
  <c r="O262" i="1"/>
  <c r="P262" i="1"/>
  <c r="Q262" i="1"/>
  <c r="N11" i="1"/>
  <c r="N4" i="1" s="1"/>
  <c r="Y14" i="1" s="1"/>
  <c r="O11" i="1"/>
  <c r="O4" i="1" s="1"/>
  <c r="Y15" i="1" s="1"/>
  <c r="P11" i="1"/>
  <c r="P4" i="1" s="1"/>
  <c r="Y16" i="1" s="1"/>
  <c r="Q11" i="1"/>
  <c r="Q5" i="1" s="1"/>
  <c r="Q6" i="1" s="1"/>
  <c r="M12" i="1"/>
  <c r="M13" i="1"/>
  <c r="M14" i="1"/>
  <c r="M15" i="1"/>
  <c r="M16" i="1"/>
  <c r="M17" i="1"/>
  <c r="M18" i="1"/>
  <c r="M19" i="1"/>
  <c r="M20" i="1"/>
  <c r="M21" i="1"/>
  <c r="M22" i="1"/>
  <c r="Y13" i="1" s="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Z21" i="1" l="1"/>
  <c r="O5" i="1"/>
  <c r="O6" i="1" s="1"/>
  <c r="Q4" i="1"/>
  <c r="Y17" i="1" s="1"/>
  <c r="D10" i="4" l="1"/>
  <c r="D8" i="4"/>
  <c r="D9" i="4" l="1"/>
  <c r="D11" i="4"/>
</calcChain>
</file>

<file path=xl/sharedStrings.xml><?xml version="1.0" encoding="utf-8"?>
<sst xmlns="http://schemas.openxmlformats.org/spreadsheetml/2006/main" count="117" uniqueCount="65">
  <si>
    <t>ICICI Bank</t>
  </si>
  <si>
    <t>HDFC Bank</t>
  </si>
  <si>
    <t>Kotak Mahindra Bank</t>
  </si>
  <si>
    <t>Infosys Ltd</t>
  </si>
  <si>
    <t>Reliance Industries Ltd</t>
  </si>
  <si>
    <t>Day</t>
  </si>
  <si>
    <t>Date</t>
  </si>
  <si>
    <t>Returns Calculation</t>
  </si>
  <si>
    <t>Average</t>
  </si>
  <si>
    <t xml:space="preserve">Variance </t>
  </si>
  <si>
    <t>Standard Deviation</t>
  </si>
  <si>
    <t>Raw Data</t>
  </si>
  <si>
    <t>Averages</t>
  </si>
  <si>
    <t>Covariance-Variance Matrix</t>
  </si>
  <si>
    <t>Portfolio Return</t>
  </si>
  <si>
    <t>Variance of Portfolio</t>
  </si>
  <si>
    <t>Portoflio Daily SD</t>
  </si>
  <si>
    <t>Annual SD</t>
  </si>
  <si>
    <t>Closing Price of Each Asset has been taken from the NSE Website</t>
  </si>
  <si>
    <t>Days</t>
  </si>
  <si>
    <t>To check the calculation of the return values Refer to the Covariance variance Sheet, The Values have been copied from thhere</t>
  </si>
  <si>
    <t>NIFTY 50</t>
  </si>
  <si>
    <t>Nifty 50</t>
  </si>
  <si>
    <t>95% 1-day VaR</t>
  </si>
  <si>
    <t>95% 1-year VaR</t>
  </si>
  <si>
    <t>99% 1-day VaR</t>
  </si>
  <si>
    <t>99% 1-year VaR</t>
  </si>
  <si>
    <t>All Values are in percentage</t>
  </si>
  <si>
    <t>VaR with Equal Weightage</t>
  </si>
  <si>
    <t>Stocks</t>
  </si>
  <si>
    <t>Returns</t>
  </si>
  <si>
    <t>Weights</t>
  </si>
  <si>
    <t>Optimised Weights</t>
  </si>
  <si>
    <t>Portfolio Variance</t>
  </si>
  <si>
    <t>Portfolio Daily SD</t>
  </si>
  <si>
    <t>95% 1 day VaR</t>
  </si>
  <si>
    <t>95% 1 year VaR</t>
  </si>
  <si>
    <t>99% 1 day VaR</t>
  </si>
  <si>
    <t>99% 1 year VaR</t>
  </si>
  <si>
    <t>RATIOS</t>
  </si>
  <si>
    <t>BETA</t>
  </si>
  <si>
    <t>Portfolio Beta</t>
  </si>
  <si>
    <t>Risk Free Rate (Taken from RBI Website)</t>
  </si>
  <si>
    <t>Portfolio Annual Return</t>
  </si>
  <si>
    <t>Portfolio SD</t>
  </si>
  <si>
    <t>Sharpe Ratio</t>
  </si>
  <si>
    <t>Treynors Ratio</t>
  </si>
  <si>
    <t>Market Return (NIFTY 500 TRI)</t>
  </si>
  <si>
    <t>Jensen's Index</t>
  </si>
  <si>
    <t>Fund Name</t>
  </si>
  <si>
    <t xml:space="preserve">Aditya Birla Sun Life Flexi Cap Fund Direct Growth </t>
  </si>
  <si>
    <t>Benchmark</t>
  </si>
  <si>
    <t>NIFTY 500 TRI</t>
  </si>
  <si>
    <t>No of Stocks</t>
  </si>
  <si>
    <t>Average Market Cap</t>
  </si>
  <si>
    <t>Rs 170397.25 Cr</t>
  </si>
  <si>
    <t>Expense Ratio</t>
  </si>
  <si>
    <t xml:space="preserve">Fund Managers </t>
  </si>
  <si>
    <t>Holdings Taken (Top 5, does not include SBI)</t>
  </si>
  <si>
    <t>(from money control)</t>
  </si>
  <si>
    <t>Riskometer and Fund Managers</t>
  </si>
  <si>
    <t>Dhaval Joshi, Harish Krishnan</t>
  </si>
  <si>
    <t>(optimised weights</t>
  </si>
  <si>
    <t>Equal Weights</t>
  </si>
  <si>
    <t>Equal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</si>
</sst>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000%"/>
    <numFmt numFmtId="166" formatCode="0.00000%"/>
    <numFmt numFmtId="167" formatCode="0.000"/>
  </numFmts>
  <fonts count="8" x14ac:knownFonts="1">
    <font>
      <sz val="12"/>
      <color theme="1"/>
      <name val="Calibri"/>
      <family val="2"/>
      <scheme val="minor"/>
    </font>
    <font>
      <sz val="12"/>
      <color theme="1"/>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14"/>
      <color theme="1"/>
      <name val="Calibri"/>
      <family val="2"/>
      <scheme val="minor"/>
    </font>
    <font>
      <b/>
      <sz val="16"/>
      <color theme="1"/>
      <name val="Calibri"/>
      <family val="2"/>
      <scheme val="minor"/>
    </font>
    <font>
      <b/>
      <sz val="16"/>
      <color theme="1"/>
      <name val="Calibri Light"/>
      <family val="2"/>
      <scheme val="maj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04">
    <xf numFmtId="0" fontId="0" fillId="0" borderId="0" xfId="0"/>
    <xf numFmtId="0" fontId="2" fillId="0" borderId="0" xfId="0" applyFont="1"/>
    <xf numFmtId="0" fontId="2" fillId="0" borderId="1" xfId="0" applyFont="1" applyBorder="1"/>
    <xf numFmtId="164" fontId="0" fillId="0" borderId="1" xfId="1" applyNumberFormat="1" applyFont="1" applyBorder="1"/>
    <xf numFmtId="164" fontId="0" fillId="0" borderId="6" xfId="1" applyNumberFormat="1" applyFont="1" applyBorder="1"/>
    <xf numFmtId="164" fontId="0" fillId="0" borderId="8" xfId="1" applyNumberFormat="1" applyFont="1" applyBorder="1"/>
    <xf numFmtId="164" fontId="0" fillId="0" borderId="9" xfId="1" applyNumberFormat="1" applyFont="1" applyBorder="1"/>
    <xf numFmtId="165" fontId="0" fillId="0" borderId="0" xfId="1" applyNumberFormat="1" applyFont="1"/>
    <xf numFmtId="0" fontId="0" fillId="0" borderId="13" xfId="0" applyBorder="1"/>
    <xf numFmtId="0" fontId="0" fillId="0" borderId="15" xfId="0" applyBorder="1"/>
    <xf numFmtId="164" fontId="0" fillId="0" borderId="16" xfId="1" applyNumberFormat="1" applyFont="1" applyBorder="1"/>
    <xf numFmtId="0" fontId="0" fillId="0" borderId="1" xfId="0" applyBorder="1"/>
    <xf numFmtId="165" fontId="0" fillId="0" borderId="1" xfId="1" applyNumberFormat="1" applyFont="1" applyBorder="1"/>
    <xf numFmtId="0" fontId="0" fillId="0" borderId="5" xfId="0" applyBorder="1"/>
    <xf numFmtId="0" fontId="0" fillId="0" borderId="7" xfId="0" applyBorder="1"/>
    <xf numFmtId="164" fontId="5" fillId="0" borderId="3" xfId="0" applyNumberFormat="1" applyFont="1" applyBorder="1"/>
    <xf numFmtId="164" fontId="5" fillId="0" borderId="4" xfId="0" applyNumberFormat="1" applyFont="1" applyBorder="1"/>
    <xf numFmtId="165" fontId="5" fillId="0" borderId="1" xfId="1" applyNumberFormat="1" applyFont="1" applyBorder="1"/>
    <xf numFmtId="165" fontId="5" fillId="0" borderId="6" xfId="1" applyNumberFormat="1" applyFont="1" applyBorder="1"/>
    <xf numFmtId="164" fontId="5" fillId="0" borderId="8" xfId="1" applyNumberFormat="1" applyFont="1" applyBorder="1"/>
    <xf numFmtId="164" fontId="5" fillId="0" borderId="9" xfId="1" applyNumberFormat="1" applyFont="1" applyBorder="1"/>
    <xf numFmtId="0" fontId="4" fillId="2" borderId="2" xfId="0" applyFont="1" applyFill="1" applyBorder="1"/>
    <xf numFmtId="0" fontId="4" fillId="2" borderId="5" xfId="0" applyFont="1" applyFill="1" applyBorder="1"/>
    <xf numFmtId="0" fontId="4" fillId="2" borderId="7" xfId="0" applyFont="1" applyFill="1" applyBorder="1"/>
    <xf numFmtId="0" fontId="0" fillId="0" borderId="12" xfId="0" applyBorder="1"/>
    <xf numFmtId="15" fontId="0" fillId="0" borderId="0" xfId="0" applyNumberFormat="1" applyBorder="1"/>
    <xf numFmtId="4" fontId="0" fillId="0" borderId="0" xfId="0" applyNumberFormat="1" applyBorder="1"/>
    <xf numFmtId="0" fontId="0" fillId="0" borderId="0" xfId="0" applyBorder="1"/>
    <xf numFmtId="15" fontId="0" fillId="0" borderId="16" xfId="0" applyNumberFormat="1" applyBorder="1"/>
    <xf numFmtId="4" fontId="0" fillId="0" borderId="16" xfId="0" applyNumberFormat="1" applyBorder="1"/>
    <xf numFmtId="0" fontId="6" fillId="0" borderId="0" xfId="0" applyFont="1"/>
    <xf numFmtId="0" fontId="2" fillId="0" borderId="0" xfId="0" applyFont="1" applyBorder="1"/>
    <xf numFmtId="164" fontId="2" fillId="0" borderId="0" xfId="0" applyNumberFormat="1" applyFont="1" applyBorder="1"/>
    <xf numFmtId="9" fontId="0" fillId="0" borderId="0" xfId="0" applyNumberFormat="1"/>
    <xf numFmtId="0" fontId="3" fillId="0" borderId="0" xfId="0" applyFont="1"/>
    <xf numFmtId="166" fontId="0" fillId="0" borderId="1" xfId="1" applyNumberFormat="1" applyFont="1" applyBorder="1"/>
    <xf numFmtId="166" fontId="0" fillId="0" borderId="2" xfId="1" applyNumberFormat="1" applyFont="1" applyBorder="1"/>
    <xf numFmtId="166" fontId="0" fillId="0" borderId="3" xfId="1" applyNumberFormat="1" applyFont="1" applyBorder="1"/>
    <xf numFmtId="166" fontId="0" fillId="0" borderId="4" xfId="1" applyNumberFormat="1" applyFont="1" applyBorder="1"/>
    <xf numFmtId="166" fontId="0" fillId="0" borderId="5" xfId="1" applyNumberFormat="1" applyFont="1" applyBorder="1"/>
    <xf numFmtId="166" fontId="0" fillId="0" borderId="6" xfId="1" applyNumberFormat="1" applyFont="1" applyBorder="1"/>
    <xf numFmtId="166" fontId="0" fillId="0" borderId="7" xfId="1" applyNumberFormat="1" applyFont="1" applyBorder="1"/>
    <xf numFmtId="166" fontId="0" fillId="0" borderId="8" xfId="1" applyNumberFormat="1" applyFont="1" applyBorder="1"/>
    <xf numFmtId="166" fontId="0" fillId="0" borderId="9" xfId="1" applyNumberFormat="1" applyFont="1" applyBorder="1"/>
    <xf numFmtId="0" fontId="0" fillId="0" borderId="14" xfId="0" applyBorder="1"/>
    <xf numFmtId="0" fontId="0" fillId="0" borderId="17" xfId="0" applyBorder="1"/>
    <xf numFmtId="0" fontId="4" fillId="0" borderId="0" xfId="0" applyFont="1"/>
    <xf numFmtId="164" fontId="0" fillId="0" borderId="0" xfId="1" applyNumberFormat="1" applyFont="1" applyBorder="1"/>
    <xf numFmtId="10" fontId="0" fillId="0" borderId="1" xfId="1" applyNumberFormat="1" applyFont="1" applyBorder="1"/>
    <xf numFmtId="0" fontId="0" fillId="3" borderId="10" xfId="0" applyFill="1" applyBorder="1"/>
    <xf numFmtId="0" fontId="0" fillId="3" borderId="11" xfId="0" applyFill="1" applyBorder="1"/>
    <xf numFmtId="0" fontId="0" fillId="3" borderId="19" xfId="0" applyFill="1" applyBorder="1"/>
    <xf numFmtId="4" fontId="0" fillId="0" borderId="20" xfId="0" applyNumberFormat="1" applyBorder="1"/>
    <xf numFmtId="4" fontId="0" fillId="0" borderId="21" xfId="0" applyNumberFormat="1" applyBorder="1"/>
    <xf numFmtId="0" fontId="2" fillId="3" borderId="10" xfId="0" applyFont="1" applyFill="1" applyBorder="1"/>
    <xf numFmtId="0" fontId="2" fillId="3" borderId="11" xfId="0" applyFont="1" applyFill="1" applyBorder="1"/>
    <xf numFmtId="1" fontId="0" fillId="0" borderId="13" xfId="0" applyNumberFormat="1" applyBorder="1"/>
    <xf numFmtId="164" fontId="0" fillId="0" borderId="14" xfId="1" applyNumberFormat="1" applyFont="1" applyFill="1" applyBorder="1"/>
    <xf numFmtId="0" fontId="0" fillId="0" borderId="13" xfId="0" applyNumberFormat="1" applyBorder="1"/>
    <xf numFmtId="0" fontId="0" fillId="0" borderId="15" xfId="0" applyNumberFormat="1" applyBorder="1"/>
    <xf numFmtId="164" fontId="0" fillId="0" borderId="17" xfId="1" applyNumberFormat="1" applyFont="1" applyFill="1" applyBorder="1"/>
    <xf numFmtId="0" fontId="4" fillId="3" borderId="10" xfId="0" applyFont="1" applyFill="1" applyBorder="1"/>
    <xf numFmtId="0" fontId="4" fillId="3" borderId="11" xfId="0" applyFont="1" applyFill="1" applyBorder="1"/>
    <xf numFmtId="0" fontId="5" fillId="3" borderId="2" xfId="0" applyFont="1" applyFill="1" applyBorder="1"/>
    <xf numFmtId="0" fontId="5" fillId="3" borderId="3" xfId="0" applyFont="1" applyFill="1" applyBorder="1"/>
    <xf numFmtId="0" fontId="5" fillId="3" borderId="4" xfId="0" applyFont="1" applyFill="1" applyBorder="1"/>
    <xf numFmtId="10" fontId="0" fillId="3" borderId="18" xfId="1" applyNumberFormat="1" applyFont="1" applyFill="1" applyBorder="1"/>
    <xf numFmtId="0" fontId="2" fillId="0" borderId="12" xfId="0" applyFont="1" applyFill="1" applyBorder="1"/>
    <xf numFmtId="0" fontId="2" fillId="3" borderId="13" xfId="0" applyFont="1" applyFill="1" applyBorder="1"/>
    <xf numFmtId="0" fontId="2" fillId="3" borderId="15" xfId="0" applyFont="1" applyFill="1" applyBorder="1"/>
    <xf numFmtId="0" fontId="2" fillId="0" borderId="0" xfId="0" applyFont="1" applyFill="1" applyBorder="1"/>
    <xf numFmtId="0" fontId="0" fillId="0" borderId="0" xfId="0" applyFill="1" applyBorder="1"/>
    <xf numFmtId="165" fontId="0" fillId="0" borderId="0" xfId="0" applyNumberFormat="1"/>
    <xf numFmtId="166" fontId="0" fillId="0" borderId="10" xfId="0" applyNumberFormat="1" applyBorder="1"/>
    <xf numFmtId="166" fontId="0" fillId="0" borderId="11" xfId="0" applyNumberFormat="1" applyBorder="1"/>
    <xf numFmtId="166" fontId="0" fillId="0" borderId="12" xfId="0" applyNumberFormat="1" applyBorder="1"/>
    <xf numFmtId="166" fontId="0" fillId="0" borderId="13" xfId="0" applyNumberFormat="1" applyBorder="1"/>
    <xf numFmtId="166" fontId="0" fillId="0" borderId="0" xfId="0" applyNumberFormat="1" applyBorder="1"/>
    <xf numFmtId="166" fontId="0" fillId="0" borderId="14" xfId="0" applyNumberFormat="1" applyBorder="1"/>
    <xf numFmtId="166" fontId="0" fillId="0" borderId="15" xfId="0" applyNumberFormat="1" applyBorder="1"/>
    <xf numFmtId="166" fontId="0" fillId="0" borderId="16" xfId="0" applyNumberFormat="1" applyBorder="1"/>
    <xf numFmtId="166" fontId="0" fillId="0" borderId="17" xfId="0" applyNumberFormat="1" applyBorder="1"/>
    <xf numFmtId="165" fontId="2" fillId="0" borderId="0" xfId="0" applyNumberFormat="1" applyFont="1"/>
    <xf numFmtId="164" fontId="2" fillId="0" borderId="0" xfId="1" applyNumberFormat="1" applyFont="1"/>
    <xf numFmtId="165" fontId="2" fillId="0" borderId="0" xfId="1" applyNumberFormat="1" applyFont="1"/>
    <xf numFmtId="10" fontId="2" fillId="0" borderId="0" xfId="1" applyNumberFormat="1" applyFont="1"/>
    <xf numFmtId="0" fontId="2" fillId="4" borderId="1" xfId="0" applyFont="1" applyFill="1" applyBorder="1"/>
    <xf numFmtId="9" fontId="2" fillId="0" borderId="1" xfId="0" applyNumberFormat="1" applyFont="1" applyBorder="1"/>
    <xf numFmtId="10" fontId="0" fillId="0" borderId="0" xfId="0" applyNumberFormat="1"/>
    <xf numFmtId="10" fontId="0" fillId="0" borderId="1" xfId="0" applyNumberFormat="1" applyBorder="1"/>
    <xf numFmtId="167" fontId="2" fillId="4" borderId="1" xfId="1" applyNumberFormat="1" applyFont="1" applyFill="1" applyBorder="1"/>
    <xf numFmtId="167" fontId="2" fillId="4" borderId="1" xfId="0" applyNumberFormat="1" applyFont="1" applyFill="1" applyBorder="1"/>
    <xf numFmtId="10" fontId="2" fillId="3" borderId="22" xfId="1" applyNumberFormat="1" applyFont="1" applyFill="1" applyBorder="1"/>
    <xf numFmtId="0" fontId="0" fillId="0" borderId="23" xfId="0" applyBorder="1"/>
    <xf numFmtId="0" fontId="0" fillId="0" borderId="24" xfId="0" applyBorder="1"/>
    <xf numFmtId="0" fontId="7" fillId="4" borderId="25" xfId="0" applyFont="1" applyFill="1" applyBorder="1"/>
    <xf numFmtId="0" fontId="7" fillId="4" borderId="26" xfId="0" applyFont="1" applyFill="1" applyBorder="1"/>
    <xf numFmtId="0" fontId="7" fillId="4" borderId="27" xfId="0" applyFont="1" applyFill="1" applyBorder="1"/>
    <xf numFmtId="0" fontId="7" fillId="5" borderId="25" xfId="0" applyFont="1" applyFill="1" applyBorder="1"/>
    <xf numFmtId="0" fontId="7" fillId="5" borderId="26" xfId="0" applyFont="1" applyFill="1" applyBorder="1"/>
    <xf numFmtId="0" fontId="7" fillId="5" borderId="26" xfId="0" applyFont="1" applyFill="1" applyBorder="1" applyAlignment="1">
      <alignment horizontal="left"/>
    </xf>
    <xf numFmtId="10" fontId="7" fillId="5" borderId="26" xfId="0" applyNumberFormat="1" applyFont="1" applyFill="1" applyBorder="1" applyAlignment="1">
      <alignment horizontal="left"/>
    </xf>
    <xf numFmtId="0" fontId="7" fillId="5" borderId="27" xfId="0" applyFont="1" applyFill="1" applyBorder="1"/>
    <xf numFmtId="2" fontId="2" fillId="4" borderId="0" xfId="0" applyNumberFormat="1" applyFon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262328</xdr:colOff>
      <xdr:row>18</xdr:row>
      <xdr:rowOff>174886</xdr:rowOff>
    </xdr:from>
    <xdr:to>
      <xdr:col>6</xdr:col>
      <xdr:colOff>4691794</xdr:colOff>
      <xdr:row>31</xdr:row>
      <xdr:rowOff>143076</xdr:rowOff>
    </xdr:to>
    <xdr:pic>
      <xdr:nvPicPr>
        <xdr:cNvPr id="2" name="Picture 1"/>
        <xdr:cNvPicPr>
          <a:picLocks noChangeAspect="1"/>
        </xdr:cNvPicPr>
      </xdr:nvPicPr>
      <xdr:blipFill>
        <a:blip xmlns:r="http://schemas.openxmlformats.org/officeDocument/2006/relationships" r:embed="rId1"/>
        <a:stretch>
          <a:fillRect/>
        </a:stretch>
      </xdr:blipFill>
      <xdr:spPr>
        <a:xfrm>
          <a:off x="2960558" y="3897443"/>
          <a:ext cx="7132820" cy="2566485"/>
        </a:xfrm>
        <a:prstGeom prst="rect">
          <a:avLst/>
        </a:prstGeom>
      </xdr:spPr>
    </xdr:pic>
    <xdr:clientData/>
  </xdr:twoCellAnchor>
  <xdr:twoCellAnchor editAs="oneCell">
    <xdr:from>
      <xdr:col>4</xdr:col>
      <xdr:colOff>579437</xdr:colOff>
      <xdr:row>36</xdr:row>
      <xdr:rowOff>134939</xdr:rowOff>
    </xdr:from>
    <xdr:to>
      <xdr:col>9</xdr:col>
      <xdr:colOff>401257</xdr:colOff>
      <xdr:row>50</xdr:row>
      <xdr:rowOff>15877</xdr:rowOff>
    </xdr:to>
    <xdr:pic>
      <xdr:nvPicPr>
        <xdr:cNvPr id="3" name="Picture 2"/>
        <xdr:cNvPicPr>
          <a:picLocks noChangeAspect="1"/>
        </xdr:cNvPicPr>
      </xdr:nvPicPr>
      <xdr:blipFill>
        <a:blip xmlns:r="http://schemas.openxmlformats.org/officeDocument/2006/relationships" r:embed="rId2"/>
        <a:stretch>
          <a:fillRect/>
        </a:stretch>
      </xdr:blipFill>
      <xdr:spPr>
        <a:xfrm>
          <a:off x="3246437" y="7493002"/>
          <a:ext cx="8659921" cy="26590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371928</xdr:colOff>
      <xdr:row>3</xdr:row>
      <xdr:rowOff>90714</xdr:rowOff>
    </xdr:from>
    <xdr:to>
      <xdr:col>11</xdr:col>
      <xdr:colOff>308428</xdr:colOff>
      <xdr:row>41</xdr:row>
      <xdr:rowOff>99784</xdr:rowOff>
    </xdr:to>
    <xdr:sp macro="" textlink="">
      <xdr:nvSpPr>
        <xdr:cNvPr id="2" name="TextBox 1"/>
        <xdr:cNvSpPr txBox="1"/>
      </xdr:nvSpPr>
      <xdr:spPr>
        <a:xfrm>
          <a:off x="1043214" y="689428"/>
          <a:ext cx="6649357" cy="75927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Analysis of Findings</a:t>
          </a:r>
        </a:p>
        <a:p>
          <a:r>
            <a:rPr lang="en-IN" sz="1100" b="0"/>
            <a:t>1)Risk and Return </a:t>
          </a:r>
        </a:p>
        <a:p>
          <a:r>
            <a:rPr lang="en-IN"/>
            <a:t>The</a:t>
          </a:r>
          <a:r>
            <a:rPr lang="en-IN" baseline="0"/>
            <a:t> </a:t>
          </a:r>
          <a:r>
            <a:rPr lang="en-IN"/>
            <a:t>portfolio delivered an annual return of </a:t>
          </a:r>
          <a:r>
            <a:rPr lang="en-IN" b="1"/>
            <a:t>32.883%</a:t>
          </a:r>
          <a:r>
            <a:rPr lang="en-IN"/>
            <a:t>,</a:t>
          </a:r>
          <a:r>
            <a:rPr lang="en-IN" baseline="0"/>
            <a:t> a strong</a:t>
          </a:r>
          <a:r>
            <a:rPr lang="en-IN"/>
            <a:t> performance considering the benchmark (</a:t>
          </a:r>
          <a:r>
            <a:rPr lang="en-IN" b="1"/>
            <a:t>Nifty 500 TRI</a:t>
          </a:r>
          <a:r>
            <a:rPr lang="en-IN"/>
            <a:t>) dropped by </a:t>
          </a:r>
          <a:r>
            <a:rPr lang="en-IN" b="1"/>
            <a:t>-1.26%</a:t>
          </a:r>
          <a:r>
            <a:rPr lang="en-IN"/>
            <a:t>. </a:t>
          </a:r>
        </a:p>
        <a:p>
          <a:r>
            <a:rPr lang="en-IN" b="1" baseline="0"/>
            <a:t> </a:t>
          </a:r>
          <a:r>
            <a:rPr lang="en-IN"/>
            <a:t>By optimizing weights, the </a:t>
          </a:r>
          <a:r>
            <a:rPr lang="en-IN" b="1"/>
            <a:t>Annual Standard Deviation reduced from around</a:t>
          </a:r>
          <a:r>
            <a:rPr lang="en-IN" b="1" baseline="0"/>
            <a:t> </a:t>
          </a:r>
          <a:r>
            <a:rPr lang="en-IN" b="1"/>
            <a:t>38% to 23.39%</a:t>
          </a:r>
          <a:r>
            <a:rPr lang="en-IN"/>
            <a:t>. This proves that   the portfolio is mathematically more stable. The</a:t>
          </a:r>
          <a:r>
            <a:rPr lang="en-IN" baseline="0"/>
            <a:t> </a:t>
          </a:r>
          <a:r>
            <a:rPr lang="en-IN" b="1"/>
            <a:t>Daily SD (1.474%)</a:t>
          </a:r>
          <a:r>
            <a:rPr lang="en-IN"/>
            <a:t> suggests that even on volatile days, the      portfolio's swings are manageable.</a:t>
          </a:r>
        </a:p>
        <a:p>
          <a:endParaRPr lang="en-IN"/>
        </a:p>
        <a:p>
          <a:r>
            <a:rPr lang="en-IN"/>
            <a:t>2) Efficiency and VaR</a:t>
          </a:r>
        </a:p>
        <a:p>
          <a:r>
            <a:rPr lang="en-IN"/>
            <a:t>A </a:t>
          </a:r>
          <a:r>
            <a:rPr lang="en-IN" b="1"/>
            <a:t>Sharpe Ratio of 1.165</a:t>
          </a:r>
          <a:r>
            <a:rPr lang="en-IN"/>
            <a:t> and a </a:t>
          </a:r>
          <a:r>
            <a:rPr lang="en-IN" b="1"/>
            <a:t>Treynor Ratio of 0.549</a:t>
          </a:r>
          <a:r>
            <a:rPr lang="en-IN"/>
            <a:t> confirm that the</a:t>
          </a:r>
          <a:r>
            <a:rPr lang="en-IN" baseline="0"/>
            <a:t> portfolio </a:t>
          </a:r>
          <a:r>
            <a:rPr lang="en-IN"/>
            <a:t>compensates</a:t>
          </a:r>
          <a:r>
            <a:rPr lang="en-IN" baseline="0"/>
            <a:t> well</a:t>
          </a:r>
          <a:r>
            <a:rPr lang="en-IN"/>
            <a:t> for both total risk and systematic risk.</a:t>
          </a:r>
        </a:p>
        <a:p>
          <a:r>
            <a:rPr lang="en-IN"/>
            <a:t>When</a:t>
          </a:r>
          <a:r>
            <a:rPr lang="en-IN" baseline="0"/>
            <a:t> we </a:t>
          </a:r>
          <a:r>
            <a:rPr lang="en-IN"/>
            <a:t>transition from equal</a:t>
          </a:r>
          <a:r>
            <a:rPr lang="en-IN" baseline="0"/>
            <a:t> </a:t>
          </a:r>
          <a:r>
            <a:rPr lang="en-IN"/>
            <a:t>weighted allocation to optimized weights, the portfolio saw a 39% reduction in Value at Risk (VaR) and lowered annual volatility by 15 percentage points, while  generating a 28.4% Jensen’s Alpha against a negative benchmark</a:t>
          </a:r>
          <a:r>
            <a:rPr lang="en-IN" baseline="0"/>
            <a:t> which</a:t>
          </a:r>
          <a:r>
            <a:rPr lang="en-IN"/>
            <a:t>effectively proves that systematic risk management can engineer defensive alpha even during periods of broader market contraction</a:t>
          </a:r>
        </a:p>
        <a:p>
          <a:endParaRPr lang="en-IN"/>
        </a:p>
        <a:p>
          <a:r>
            <a:rPr lang="en-IN"/>
            <a:t> 3) Beta and Jensen's</a:t>
          </a:r>
          <a:r>
            <a:rPr lang="en-IN" baseline="0"/>
            <a:t> Alpha</a:t>
          </a:r>
          <a:endParaRPr lang="en-IN"/>
        </a:p>
        <a:p>
          <a:r>
            <a:rPr lang="en-IN"/>
            <a:t>A Beta of 0.13</a:t>
          </a:r>
          <a:r>
            <a:rPr lang="en-IN" baseline="0"/>
            <a:t> (0.17 with optimised weights)</a:t>
          </a:r>
          <a:r>
            <a:rPr lang="en-IN"/>
            <a:t> is a standout metric . It indicates the portfolio is largely independent of market-wide crashes. For every 10% the Nifty 50 falls, the portfolio is only expected to slide by 1.7%.</a:t>
          </a:r>
          <a:endParaRPr lang="en-IN" sz="1100" b="0"/>
        </a:p>
        <a:p>
          <a:r>
            <a:rPr lang="en-IN"/>
            <a:t>The high positive Jensen's</a:t>
          </a:r>
          <a:r>
            <a:rPr lang="en-IN" baseline="0"/>
            <a:t> Alpha (28.4%) </a:t>
          </a:r>
          <a:r>
            <a:rPr lang="en-IN"/>
            <a:t>proves that</a:t>
          </a:r>
          <a:r>
            <a:rPr lang="en-IN" baseline="0"/>
            <a:t> the portfolio has </a:t>
          </a:r>
          <a:r>
            <a:rPr lang="en-IN"/>
            <a:t>massive value. The</a:t>
          </a:r>
          <a:r>
            <a:rPr lang="en-IN" baseline="0"/>
            <a:t> portfolio </a:t>
          </a:r>
          <a:r>
            <a:rPr lang="en-IN"/>
            <a:t> beats the CAPM-predicted return by</a:t>
          </a:r>
          <a:r>
            <a:rPr lang="en-IN" baseline="0"/>
            <a:t> a big margin.</a:t>
          </a:r>
        </a:p>
        <a:p>
          <a:endParaRPr lang="en-IN" sz="1100" b="0" baseline="0"/>
        </a:p>
        <a:p>
          <a:r>
            <a:rPr lang="en-IN" sz="1200" b="1"/>
            <a:t>Futuristic Outlook</a:t>
          </a:r>
        </a:p>
        <a:p>
          <a:r>
            <a:rPr lang="en-IN"/>
            <a:t>With ICICI Bank</a:t>
          </a:r>
          <a:r>
            <a:rPr lang="en-IN" baseline="0"/>
            <a:t> </a:t>
          </a:r>
          <a:r>
            <a:rPr lang="en-IN"/>
            <a:t>HDFC Bank and Kotak Mahindra Bank being assets with most</a:t>
          </a:r>
          <a:r>
            <a:rPr lang="en-IN" baseline="0"/>
            <a:t> weightage </a:t>
          </a:r>
          <a:r>
            <a:rPr lang="en-IN"/>
            <a:t>, the portfolio is a bet on the Indian credit cycle. As we move through 2026, if the RBI maintains its current interest rate stance, these banks are likely to sustain high Net Interest Margins (NIMs).</a:t>
          </a:r>
          <a:endParaRPr lang="en-IN" sz="1100" b="0"/>
        </a:p>
        <a:p>
          <a:r>
            <a:rPr lang="en-IN"/>
            <a:t>Infosys is a hedge. If global enterprise spending picks up toward late 2026, the technical sector's mean reversion</a:t>
          </a:r>
          <a:r>
            <a:rPr lang="en-IN" baseline="0"/>
            <a:t> </a:t>
          </a:r>
          <a:r>
            <a:rPr lang="en-IN"/>
            <a:t>could drive Alpha further without increasing the overall Beta significantly.</a:t>
          </a:r>
        </a:p>
        <a:p>
          <a:r>
            <a:rPr lang="en-IN"/>
            <a:t>While successful now, the 0.17 Beta suggests the portfolio might</a:t>
          </a:r>
          <a:r>
            <a:rPr lang="en-IN" baseline="0"/>
            <a:t> </a:t>
          </a:r>
          <a:r>
            <a:rPr lang="en-IN"/>
            <a:t>underperform</a:t>
          </a:r>
          <a:r>
            <a:rPr lang="en-IN" baseline="0"/>
            <a:t> </a:t>
          </a:r>
          <a:r>
            <a:rPr lang="en-IN"/>
            <a:t>during a massive, broad-based market rally. If</a:t>
          </a:r>
          <a:r>
            <a:rPr lang="en-IN" baseline="0"/>
            <a:t> we witness</a:t>
          </a:r>
          <a:r>
            <a:rPr lang="en-IN"/>
            <a:t> a</a:t>
          </a:r>
          <a:r>
            <a:rPr lang="en-IN" baseline="0"/>
            <a:t> </a:t>
          </a:r>
          <a:r>
            <a:rPr lang="en-IN"/>
            <a:t>bull run</a:t>
          </a:r>
          <a:r>
            <a:rPr lang="en-IN" baseline="0"/>
            <a:t> in 2027</a:t>
          </a:r>
          <a:r>
            <a:rPr lang="en-IN"/>
            <a:t> a more diversified or aggressive allocation might be needed to capture full market upside.</a:t>
          </a:r>
        </a:p>
        <a:p>
          <a:endParaRPr lang="en-IN" sz="1100" b="0"/>
        </a:p>
        <a:p>
          <a:r>
            <a:rPr lang="en-IN" sz="1200" b="1"/>
            <a:t>Conclusion</a:t>
          </a:r>
        </a:p>
        <a:p>
          <a:r>
            <a:rPr lang="en-IN" sz="1100" b="0"/>
            <a:t>The findings of this project demonstrate that mathematical optimization is significantly more effective than simple equal-weighting. By using the Variance-Covariance matrix to shift the portfolio’s weight toward ICICI Bank (60%), we successfully reduced the Annual Standard Deviation by nearly 15 percentage points and cut the Value at Risk (VaR) by 39%.</a:t>
          </a:r>
        </a:p>
        <a:p>
          <a:r>
            <a:rPr lang="en-IN" sz="1100" b="0"/>
            <a:t>Despite a volatile period where the benchmark Nifty 500 TRI returned -1.26%, this optimized portfolio delivered a stellar 32.88% return. The high Jensen’s Alpha (28.4%) and low Beta (0.17) confirm that the portfolio is defensively alpha-generative</a:t>
          </a:r>
          <a:r>
            <a:rPr lang="en-IN" sz="1100" b="0" baseline="0"/>
            <a:t> i</a:t>
          </a:r>
          <a:r>
            <a:rPr lang="en-IN" sz="1100" b="0"/>
            <a:t>t provides high returns while remaining largely insulated from broader market crashes. Ultimately, the project proves that active risk management can engineer a "safe" portfolio that still captures significant upside.</a:t>
          </a:r>
        </a:p>
        <a:p>
          <a:endParaRPr lang="en-IN" sz="12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2:G52"/>
  <sheetViews>
    <sheetView tabSelected="1" zoomScale="78" workbookViewId="0">
      <selection activeCell="G13" sqref="G13"/>
    </sheetView>
  </sheetViews>
  <sheetFormatPr defaultRowHeight="15.6" x14ac:dyDescent="0.3"/>
  <cols>
    <col min="6" max="6" width="26.5" customWidth="1"/>
    <col min="7" max="7" width="63.3984375" customWidth="1"/>
  </cols>
  <sheetData>
    <row r="2" spans="6:7" ht="16.2" thickBot="1" x14ac:dyDescent="0.35"/>
    <row r="3" spans="6:7" ht="21" x14ac:dyDescent="0.4">
      <c r="F3" s="95" t="s">
        <v>49</v>
      </c>
      <c r="G3" s="98" t="s">
        <v>50</v>
      </c>
    </row>
    <row r="4" spans="6:7" ht="21" x14ac:dyDescent="0.4">
      <c r="F4" s="96" t="s">
        <v>51</v>
      </c>
      <c r="G4" s="99" t="s">
        <v>52</v>
      </c>
    </row>
    <row r="5" spans="6:7" ht="21" x14ac:dyDescent="0.4">
      <c r="F5" s="96" t="s">
        <v>53</v>
      </c>
      <c r="G5" s="100">
        <v>81</v>
      </c>
    </row>
    <row r="6" spans="6:7" ht="21" x14ac:dyDescent="0.4">
      <c r="F6" s="96" t="s">
        <v>54</v>
      </c>
      <c r="G6" s="99" t="s">
        <v>55</v>
      </c>
    </row>
    <row r="7" spans="6:7" ht="21" x14ac:dyDescent="0.4">
      <c r="F7" s="96" t="s">
        <v>56</v>
      </c>
      <c r="G7" s="101">
        <v>1.6500000000000001E-2</v>
      </c>
    </row>
    <row r="8" spans="6:7" ht="21.6" thickBot="1" x14ac:dyDescent="0.45">
      <c r="F8" s="97" t="s">
        <v>57</v>
      </c>
      <c r="G8" s="102" t="s">
        <v>61</v>
      </c>
    </row>
    <row r="18" spans="6:6" ht="21" x14ac:dyDescent="0.4">
      <c r="F18" s="30" t="s">
        <v>58</v>
      </c>
    </row>
    <row r="33" spans="6:7" x14ac:dyDescent="0.3">
      <c r="G33" t="s">
        <v>59</v>
      </c>
    </row>
    <row r="36" spans="6:7" ht="21" x14ac:dyDescent="0.4">
      <c r="F36" s="30" t="s">
        <v>60</v>
      </c>
    </row>
    <row r="52" spans="7:7" x14ac:dyDescent="0.3">
      <c r="G52" t="s">
        <v>59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K259"/>
  <sheetViews>
    <sheetView zoomScale="63" workbookViewId="0">
      <selection activeCell="O22" sqref="O22"/>
    </sheetView>
  </sheetViews>
  <sheetFormatPr defaultRowHeight="15.6" x14ac:dyDescent="0.3"/>
  <cols>
    <col min="5" max="5" width="15.5" customWidth="1"/>
    <col min="6" max="6" width="18.8984375" customWidth="1"/>
    <col min="7" max="7" width="16" customWidth="1"/>
    <col min="8" max="8" width="24.59765625" customWidth="1"/>
    <col min="9" max="9" width="16.09765625" customWidth="1"/>
    <col min="10" max="10" width="23.3984375" customWidth="1"/>
  </cols>
  <sheetData>
    <row r="4" spans="4:11" ht="21" x14ac:dyDescent="0.4">
      <c r="D4" s="30" t="s">
        <v>18</v>
      </c>
    </row>
    <row r="5" spans="4:11" ht="16.2" thickBot="1" x14ac:dyDescent="0.35"/>
    <row r="6" spans="4:11" ht="18" x14ac:dyDescent="0.35">
      <c r="D6" s="61" t="s">
        <v>5</v>
      </c>
      <c r="E6" s="62" t="s">
        <v>6</v>
      </c>
      <c r="F6" s="62" t="s">
        <v>0</v>
      </c>
      <c r="G6" s="62" t="s">
        <v>1</v>
      </c>
      <c r="H6" s="62" t="s">
        <v>2</v>
      </c>
      <c r="I6" s="62" t="s">
        <v>3</v>
      </c>
      <c r="J6" s="62" t="s">
        <v>4</v>
      </c>
      <c r="K6" s="92" t="s">
        <v>21</v>
      </c>
    </row>
    <row r="7" spans="4:11" x14ac:dyDescent="0.3">
      <c r="D7" s="8">
        <v>1</v>
      </c>
      <c r="E7" s="25">
        <v>46101</v>
      </c>
      <c r="F7" s="26">
        <v>1245.4000000000001</v>
      </c>
      <c r="G7" s="27">
        <v>780.45</v>
      </c>
      <c r="H7" s="27">
        <v>375.4</v>
      </c>
      <c r="I7" s="26">
        <v>1256.8</v>
      </c>
      <c r="J7" s="26">
        <v>1384.8</v>
      </c>
      <c r="K7" s="93">
        <v>21327.9</v>
      </c>
    </row>
    <row r="8" spans="4:11" x14ac:dyDescent="0.3">
      <c r="D8" s="8">
        <v>2</v>
      </c>
      <c r="E8" s="25">
        <v>46100</v>
      </c>
      <c r="F8" s="26">
        <v>1250.0999999999999</v>
      </c>
      <c r="G8" s="27">
        <v>798.2</v>
      </c>
      <c r="H8" s="27">
        <v>374.2</v>
      </c>
      <c r="I8" s="26">
        <v>1255.9000000000001</v>
      </c>
      <c r="J8" s="26">
        <v>1408.1</v>
      </c>
      <c r="K8" s="93">
        <v>21225.8</v>
      </c>
    </row>
    <row r="9" spans="4:11" x14ac:dyDescent="0.3">
      <c r="D9" s="8">
        <v>3</v>
      </c>
      <c r="E9" s="25">
        <v>46099</v>
      </c>
      <c r="F9" s="26">
        <v>1289.3</v>
      </c>
      <c r="G9" s="27">
        <v>843.05</v>
      </c>
      <c r="H9" s="27">
        <v>369.85</v>
      </c>
      <c r="I9" s="26">
        <v>1220.8</v>
      </c>
      <c r="J9" s="26">
        <v>1397.6</v>
      </c>
      <c r="K9" s="93">
        <v>21917.4</v>
      </c>
    </row>
    <row r="10" spans="4:11" x14ac:dyDescent="0.3">
      <c r="D10" s="8">
        <v>4</v>
      </c>
      <c r="E10" s="25">
        <v>46098</v>
      </c>
      <c r="F10" s="26">
        <v>1288.7</v>
      </c>
      <c r="G10" s="27">
        <v>845.35</v>
      </c>
      <c r="H10" s="27">
        <v>366.85</v>
      </c>
      <c r="I10" s="26">
        <v>1267.0999999999999</v>
      </c>
      <c r="J10" s="26">
        <v>1395.1</v>
      </c>
      <c r="K10" s="93">
        <v>21669.3</v>
      </c>
    </row>
    <row r="11" spans="4:11" x14ac:dyDescent="0.3">
      <c r="D11" s="8">
        <v>5</v>
      </c>
      <c r="E11" s="25">
        <v>46097</v>
      </c>
      <c r="F11" s="26">
        <v>1272.9000000000001</v>
      </c>
      <c r="G11" s="27">
        <v>840.6</v>
      </c>
      <c r="H11" s="27">
        <v>375.3</v>
      </c>
      <c r="I11" s="26">
        <v>1232.9000000000001</v>
      </c>
      <c r="J11" s="26">
        <v>1380.7</v>
      </c>
      <c r="K11" s="93">
        <v>21498.799999999999</v>
      </c>
    </row>
    <row r="12" spans="4:11" x14ac:dyDescent="0.3">
      <c r="D12" s="8">
        <v>6</v>
      </c>
      <c r="E12" s="25">
        <v>46094</v>
      </c>
      <c r="F12" s="26">
        <v>1254.8</v>
      </c>
      <c r="G12" s="27">
        <v>817</v>
      </c>
      <c r="H12" s="27">
        <v>383.2</v>
      </c>
      <c r="I12" s="26">
        <v>1249.8</v>
      </c>
      <c r="J12" s="26">
        <v>1392.2</v>
      </c>
      <c r="K12" s="93">
        <v>21391.200000000001</v>
      </c>
    </row>
    <row r="13" spans="4:11" x14ac:dyDescent="0.3">
      <c r="D13" s="8">
        <v>7</v>
      </c>
      <c r="E13" s="25">
        <v>46093</v>
      </c>
      <c r="F13" s="26">
        <v>1266.5</v>
      </c>
      <c r="G13" s="27">
        <v>832.75</v>
      </c>
      <c r="H13" s="27">
        <v>391.85</v>
      </c>
      <c r="I13" s="26">
        <v>1248.3</v>
      </c>
      <c r="J13" s="26">
        <v>1390.2</v>
      </c>
      <c r="K13" s="93">
        <v>21897.5</v>
      </c>
    </row>
    <row r="14" spans="4:11" x14ac:dyDescent="0.3">
      <c r="D14" s="8">
        <v>8</v>
      </c>
      <c r="E14" s="25">
        <v>46092</v>
      </c>
      <c r="F14" s="26">
        <v>1294.5999999999999</v>
      </c>
      <c r="G14" s="27">
        <v>833.95</v>
      </c>
      <c r="H14" s="27">
        <v>386.35</v>
      </c>
      <c r="I14" s="26">
        <v>1265.8</v>
      </c>
      <c r="J14" s="26">
        <v>1408.8</v>
      </c>
      <c r="K14" s="93">
        <v>22042.3</v>
      </c>
    </row>
    <row r="15" spans="4:11" x14ac:dyDescent="0.3">
      <c r="D15" s="8">
        <v>9</v>
      </c>
      <c r="E15" s="25">
        <v>46091</v>
      </c>
      <c r="F15" s="26">
        <v>1311.9</v>
      </c>
      <c r="G15" s="27">
        <v>849.45</v>
      </c>
      <c r="H15" s="27">
        <v>399.8</v>
      </c>
      <c r="I15" s="26">
        <v>1276.3</v>
      </c>
      <c r="J15" s="26">
        <v>1424</v>
      </c>
      <c r="K15" s="93">
        <v>22342.95</v>
      </c>
    </row>
    <row r="16" spans="4:11" x14ac:dyDescent="0.3">
      <c r="D16" s="8">
        <v>10</v>
      </c>
      <c r="E16" s="25">
        <v>46090</v>
      </c>
      <c r="F16" s="26">
        <v>1278.4000000000001</v>
      </c>
      <c r="G16" s="27">
        <v>840.7</v>
      </c>
      <c r="H16" s="27">
        <v>407.3</v>
      </c>
      <c r="I16" s="26">
        <v>1295.5999999999999</v>
      </c>
      <c r="J16" s="26">
        <v>1404.8</v>
      </c>
      <c r="K16" s="93">
        <v>22056.55</v>
      </c>
    </row>
    <row r="17" spans="4:11" x14ac:dyDescent="0.3">
      <c r="D17" s="8">
        <v>11</v>
      </c>
      <c r="E17" s="25">
        <v>46087</v>
      </c>
      <c r="F17" s="26">
        <v>1313.4</v>
      </c>
      <c r="G17" s="27">
        <v>857.05</v>
      </c>
      <c r="H17" s="27">
        <v>403.35</v>
      </c>
      <c r="I17" s="26">
        <v>1315</v>
      </c>
      <c r="J17" s="26">
        <v>1389.4</v>
      </c>
      <c r="K17" s="93">
        <v>22481.3</v>
      </c>
    </row>
    <row r="18" spans="4:11" x14ac:dyDescent="0.3">
      <c r="D18" s="8">
        <v>12</v>
      </c>
      <c r="E18" s="25">
        <v>46086</v>
      </c>
      <c r="F18" s="26">
        <v>1357.6</v>
      </c>
      <c r="G18" s="27">
        <v>868.65</v>
      </c>
      <c r="H18" s="27">
        <v>413.1</v>
      </c>
      <c r="I18" s="26">
        <v>1308.4000000000001</v>
      </c>
      <c r="J18" s="26">
        <v>1345</v>
      </c>
      <c r="K18" s="93">
        <v>22697.8</v>
      </c>
    </row>
    <row r="19" spans="4:11" x14ac:dyDescent="0.3">
      <c r="D19" s="8">
        <v>13</v>
      </c>
      <c r="E19" s="25">
        <v>46085</v>
      </c>
      <c r="F19" s="26">
        <v>1365.4</v>
      </c>
      <c r="G19" s="27">
        <v>877.75</v>
      </c>
      <c r="H19" s="27">
        <v>415.2</v>
      </c>
      <c r="I19" s="26">
        <v>1305.8</v>
      </c>
      <c r="J19" s="26">
        <v>1358</v>
      </c>
      <c r="K19" s="93">
        <v>22409.8</v>
      </c>
    </row>
    <row r="20" spans="4:11" x14ac:dyDescent="0.3">
      <c r="D20" s="8">
        <v>14</v>
      </c>
      <c r="E20" s="25">
        <v>46083</v>
      </c>
      <c r="F20" s="26">
        <v>1374</v>
      </c>
      <c r="G20" s="27">
        <v>868.65</v>
      </c>
      <c r="H20" s="27">
        <v>424.55</v>
      </c>
      <c r="I20" s="26">
        <v>1307.4000000000001</v>
      </c>
      <c r="J20" s="26">
        <v>1393.9</v>
      </c>
      <c r="K20" s="93">
        <v>22835.95</v>
      </c>
    </row>
    <row r="21" spans="4:11" x14ac:dyDescent="0.3">
      <c r="D21" s="8">
        <v>15</v>
      </c>
      <c r="E21" s="25">
        <v>46080</v>
      </c>
      <c r="F21" s="26">
        <v>1378.9</v>
      </c>
      <c r="G21" s="27">
        <v>879.4</v>
      </c>
      <c r="H21" s="27">
        <v>424.95</v>
      </c>
      <c r="I21" s="26">
        <v>1288.9000000000001</v>
      </c>
      <c r="J21" s="26">
        <v>1406.8</v>
      </c>
      <c r="K21" s="93">
        <v>23166.85</v>
      </c>
    </row>
    <row r="22" spans="4:11" x14ac:dyDescent="0.3">
      <c r="D22" s="8">
        <v>16</v>
      </c>
      <c r="E22" s="25">
        <v>46079</v>
      </c>
      <c r="F22" s="26">
        <v>1404.9</v>
      </c>
      <c r="G22" s="27">
        <v>887.75</v>
      </c>
      <c r="H22" s="27">
        <v>427.7</v>
      </c>
      <c r="I22" s="26">
        <v>1300.0999999999999</v>
      </c>
      <c r="J22" s="26">
        <v>1398.5</v>
      </c>
      <c r="K22" s="93">
        <v>23448.5</v>
      </c>
    </row>
    <row r="23" spans="4:11" x14ac:dyDescent="0.3">
      <c r="D23" s="8">
        <v>17</v>
      </c>
      <c r="E23" s="25">
        <v>46078</v>
      </c>
      <c r="F23" s="26">
        <v>1400.5</v>
      </c>
      <c r="G23" s="27">
        <v>898.6</v>
      </c>
      <c r="H23" s="27">
        <v>430.7</v>
      </c>
      <c r="I23" s="26">
        <v>1289.0999999999999</v>
      </c>
      <c r="J23" s="26">
        <v>1428.8</v>
      </c>
      <c r="K23" s="93">
        <v>23403.8</v>
      </c>
    </row>
    <row r="24" spans="4:11" x14ac:dyDescent="0.3">
      <c r="D24" s="8">
        <v>18</v>
      </c>
      <c r="E24" s="25">
        <v>46077</v>
      </c>
      <c r="F24" s="26">
        <v>1384.8</v>
      </c>
      <c r="G24" s="27">
        <v>907.6</v>
      </c>
      <c r="H24" s="27">
        <v>421.35</v>
      </c>
      <c r="I24" s="26">
        <v>1290.0999999999999</v>
      </c>
      <c r="J24" s="26">
        <v>1428</v>
      </c>
      <c r="K24" s="93">
        <v>23304.6</v>
      </c>
    </row>
    <row r="25" spans="4:11" x14ac:dyDescent="0.3">
      <c r="D25" s="8">
        <v>19</v>
      </c>
      <c r="E25" s="25">
        <v>46076</v>
      </c>
      <c r="F25" s="26">
        <v>1399.4</v>
      </c>
      <c r="G25" s="27">
        <v>910.5</v>
      </c>
      <c r="H25" s="27">
        <v>416.4</v>
      </c>
      <c r="I25" s="26">
        <v>1275.5</v>
      </c>
      <c r="J25" s="26">
        <v>1419.4</v>
      </c>
      <c r="K25" s="93">
        <v>23484.95</v>
      </c>
    </row>
    <row r="26" spans="4:11" x14ac:dyDescent="0.3">
      <c r="D26" s="8">
        <v>20</v>
      </c>
      <c r="E26" s="25">
        <v>46073</v>
      </c>
      <c r="F26" s="26">
        <v>1394.5</v>
      </c>
      <c r="G26" s="27">
        <v>923.6</v>
      </c>
      <c r="H26" s="27">
        <v>426.35</v>
      </c>
      <c r="I26" s="26">
        <v>1327.5</v>
      </c>
      <c r="J26" s="26">
        <v>1409.5</v>
      </c>
      <c r="K26" s="93">
        <v>23395</v>
      </c>
    </row>
    <row r="27" spans="4:11" x14ac:dyDescent="0.3">
      <c r="D27" s="8">
        <v>21</v>
      </c>
      <c r="E27" s="25">
        <v>46072</v>
      </c>
      <c r="F27" s="26">
        <v>1388.8</v>
      </c>
      <c r="G27" s="27">
        <v>911.85</v>
      </c>
      <c r="H27" s="27">
        <v>424.45</v>
      </c>
      <c r="I27" s="26">
        <v>1353.2</v>
      </c>
      <c r="J27" s="26">
        <v>1441.3</v>
      </c>
      <c r="K27" s="93">
        <v>23297.45</v>
      </c>
    </row>
    <row r="28" spans="4:11" x14ac:dyDescent="0.3">
      <c r="D28" s="8">
        <v>22</v>
      </c>
      <c r="E28" s="25">
        <v>46071</v>
      </c>
      <c r="F28" s="26">
        <v>1408.2</v>
      </c>
      <c r="G28" s="27">
        <v>915.6</v>
      </c>
      <c r="H28" s="27">
        <v>425.6</v>
      </c>
      <c r="I28" s="26">
        <v>1370.5</v>
      </c>
      <c r="J28" s="26">
        <v>1423</v>
      </c>
      <c r="K28" s="93">
        <v>23645.8</v>
      </c>
    </row>
    <row r="29" spans="4:11" x14ac:dyDescent="0.3">
      <c r="D29" s="8">
        <v>23</v>
      </c>
      <c r="E29" s="25">
        <v>46070</v>
      </c>
      <c r="F29" s="26">
        <v>1407.5</v>
      </c>
      <c r="G29" s="27">
        <v>924.7</v>
      </c>
      <c r="H29" s="27">
        <v>420.65</v>
      </c>
      <c r="I29" s="26">
        <v>1373.7</v>
      </c>
      <c r="J29" s="26">
        <v>1437.1</v>
      </c>
      <c r="K29" s="93">
        <v>23540.05</v>
      </c>
    </row>
    <row r="30" spans="4:11" x14ac:dyDescent="0.3">
      <c r="D30" s="8">
        <v>24</v>
      </c>
      <c r="E30" s="25">
        <v>46069</v>
      </c>
      <c r="F30" s="26">
        <v>1411.6</v>
      </c>
      <c r="G30" s="27">
        <v>925.7</v>
      </c>
      <c r="H30" s="27">
        <v>426.25</v>
      </c>
      <c r="I30" s="26">
        <v>1391.2</v>
      </c>
      <c r="J30" s="26">
        <v>1419.6</v>
      </c>
      <c r="K30" s="93">
        <v>23472.45</v>
      </c>
    </row>
    <row r="31" spans="4:11" x14ac:dyDescent="0.3">
      <c r="D31" s="8">
        <v>25</v>
      </c>
      <c r="E31" s="25">
        <v>46066</v>
      </c>
      <c r="F31" s="26">
        <v>1414.6</v>
      </c>
      <c r="G31" s="27">
        <v>925.8</v>
      </c>
      <c r="H31" s="27">
        <v>429.55</v>
      </c>
      <c r="I31" s="26">
        <v>1365.6</v>
      </c>
      <c r="J31" s="26">
        <v>1448.9</v>
      </c>
      <c r="K31" s="93">
        <v>23313.15</v>
      </c>
    </row>
    <row r="32" spans="4:11" x14ac:dyDescent="0.3">
      <c r="D32" s="8">
        <v>26</v>
      </c>
      <c r="E32" s="25">
        <v>46065</v>
      </c>
      <c r="F32" s="26">
        <v>1430</v>
      </c>
      <c r="G32" s="27">
        <v>903.9</v>
      </c>
      <c r="H32" s="27">
        <v>429.3</v>
      </c>
      <c r="I32" s="26">
        <v>1369.1</v>
      </c>
      <c r="J32" s="26">
        <v>1468.7</v>
      </c>
      <c r="K32" s="93">
        <v>23651.55</v>
      </c>
    </row>
    <row r="33" spans="4:11" x14ac:dyDescent="0.3">
      <c r="D33" s="8">
        <v>27</v>
      </c>
      <c r="E33" s="25">
        <v>46064</v>
      </c>
      <c r="F33" s="26">
        <v>1406.1</v>
      </c>
      <c r="G33" s="27">
        <v>920.6</v>
      </c>
      <c r="H33" s="27">
        <v>428.8</v>
      </c>
      <c r="I33" s="26">
        <v>1386</v>
      </c>
      <c r="J33" s="26">
        <v>1458.5</v>
      </c>
      <c r="K33" s="93">
        <v>23783.05</v>
      </c>
    </row>
    <row r="34" spans="4:11" x14ac:dyDescent="0.3">
      <c r="D34" s="8">
        <v>28</v>
      </c>
      <c r="E34" s="25">
        <v>46063</v>
      </c>
      <c r="F34" s="26">
        <v>1406.5</v>
      </c>
      <c r="G34" s="27">
        <v>927.1</v>
      </c>
      <c r="H34" s="27">
        <v>422.35</v>
      </c>
      <c r="I34" s="26">
        <v>1471.9</v>
      </c>
      <c r="J34" s="26">
        <v>1461.6</v>
      </c>
      <c r="K34" s="93">
        <v>23753.75</v>
      </c>
    </row>
    <row r="35" spans="4:11" x14ac:dyDescent="0.3">
      <c r="D35" s="8">
        <v>29</v>
      </c>
      <c r="E35" s="25">
        <v>46062</v>
      </c>
      <c r="F35" s="26">
        <v>1396.3</v>
      </c>
      <c r="G35" s="27">
        <v>932.4</v>
      </c>
      <c r="H35" s="27">
        <v>408.75</v>
      </c>
      <c r="I35" s="26">
        <v>1497.8</v>
      </c>
      <c r="J35" s="26">
        <v>1450.8</v>
      </c>
      <c r="K35" s="93">
        <v>23683.4</v>
      </c>
    </row>
    <row r="36" spans="4:11" x14ac:dyDescent="0.3">
      <c r="D36" s="8">
        <v>30</v>
      </c>
      <c r="E36" s="25">
        <v>46059</v>
      </c>
      <c r="F36" s="26">
        <v>1406.1</v>
      </c>
      <c r="G36" s="27">
        <v>937.25</v>
      </c>
      <c r="H36" s="27">
        <v>412.35</v>
      </c>
      <c r="I36" s="26">
        <v>1497.2</v>
      </c>
      <c r="J36" s="26">
        <v>1443.4</v>
      </c>
      <c r="K36" s="93">
        <v>23434</v>
      </c>
    </row>
    <row r="37" spans="4:11" x14ac:dyDescent="0.3">
      <c r="D37" s="8">
        <v>31</v>
      </c>
      <c r="E37" s="25">
        <v>46058</v>
      </c>
      <c r="F37" s="26">
        <v>1396.5</v>
      </c>
      <c r="G37" s="27">
        <v>941.1</v>
      </c>
      <c r="H37" s="27">
        <v>415.8</v>
      </c>
      <c r="I37" s="26">
        <v>1507.1</v>
      </c>
      <c r="J37" s="26">
        <v>1456.8</v>
      </c>
      <c r="K37" s="93">
        <v>23411.7</v>
      </c>
    </row>
    <row r="38" spans="4:11" x14ac:dyDescent="0.3">
      <c r="D38" s="8">
        <v>32</v>
      </c>
      <c r="E38" s="25">
        <v>46057</v>
      </c>
      <c r="F38" s="26">
        <v>1408.4</v>
      </c>
      <c r="G38" s="27">
        <v>949.7</v>
      </c>
      <c r="H38" s="27">
        <v>408.2</v>
      </c>
      <c r="I38" s="26">
        <v>1520.2</v>
      </c>
      <c r="J38" s="26">
        <v>1437.1</v>
      </c>
      <c r="K38" s="93">
        <v>23534.95</v>
      </c>
    </row>
    <row r="39" spans="4:11" x14ac:dyDescent="0.3">
      <c r="D39" s="8">
        <v>33</v>
      </c>
      <c r="E39" s="25">
        <v>46056</v>
      </c>
      <c r="F39" s="26">
        <v>1389.7</v>
      </c>
      <c r="G39" s="27">
        <v>953.1</v>
      </c>
      <c r="H39" s="27">
        <v>407.25</v>
      </c>
      <c r="I39" s="26">
        <v>1535.8</v>
      </c>
      <c r="J39" s="26">
        <v>1390.4</v>
      </c>
      <c r="K39" s="93">
        <v>23446.3</v>
      </c>
    </row>
    <row r="40" spans="4:11" x14ac:dyDescent="0.3">
      <c r="D40" s="8">
        <v>34</v>
      </c>
      <c r="E40" s="25">
        <v>46055</v>
      </c>
      <c r="F40" s="26">
        <v>1352.8</v>
      </c>
      <c r="G40" s="27">
        <v>948.7</v>
      </c>
      <c r="H40" s="27">
        <v>408</v>
      </c>
      <c r="I40" s="26">
        <v>1656</v>
      </c>
      <c r="J40" s="26">
        <v>1347</v>
      </c>
      <c r="K40" s="93">
        <v>22837</v>
      </c>
    </row>
    <row r="41" spans="4:11" x14ac:dyDescent="0.3">
      <c r="D41" s="8">
        <v>35</v>
      </c>
      <c r="E41" s="25">
        <v>46054</v>
      </c>
      <c r="F41" s="26">
        <v>1334.2</v>
      </c>
      <c r="G41" s="27">
        <v>928.1</v>
      </c>
      <c r="H41" s="27">
        <v>412.4</v>
      </c>
      <c r="I41" s="26">
        <v>1629.4</v>
      </c>
      <c r="J41" s="26">
        <v>1395.4</v>
      </c>
      <c r="K41" s="93">
        <v>22611.3</v>
      </c>
    </row>
    <row r="42" spans="4:11" x14ac:dyDescent="0.3">
      <c r="D42" s="8">
        <v>36</v>
      </c>
      <c r="E42" s="25">
        <v>46052</v>
      </c>
      <c r="F42" s="26">
        <v>1355</v>
      </c>
      <c r="G42" s="27">
        <v>922.1</v>
      </c>
      <c r="H42" s="27">
        <v>412.4</v>
      </c>
      <c r="I42" s="26">
        <v>1654.5</v>
      </c>
      <c r="J42" s="26">
        <v>1391</v>
      </c>
      <c r="K42" s="93">
        <v>23079.5</v>
      </c>
    </row>
    <row r="43" spans="4:11" x14ac:dyDescent="0.3">
      <c r="D43" s="8">
        <v>37</v>
      </c>
      <c r="E43" s="25">
        <v>46051</v>
      </c>
      <c r="F43" s="26">
        <v>1383.6</v>
      </c>
      <c r="G43" s="27">
        <v>929.25</v>
      </c>
      <c r="H43" s="27">
        <v>408.7</v>
      </c>
      <c r="I43" s="26">
        <v>1641</v>
      </c>
      <c r="J43" s="26">
        <v>1396.7</v>
      </c>
      <c r="K43" s="93">
        <v>23134.799999999999</v>
      </c>
    </row>
    <row r="44" spans="4:11" x14ac:dyDescent="0.3">
      <c r="D44" s="8">
        <v>38</v>
      </c>
      <c r="E44" s="25">
        <v>46050</v>
      </c>
      <c r="F44" s="26">
        <v>1367.7</v>
      </c>
      <c r="G44" s="27">
        <v>935.5</v>
      </c>
      <c r="H44" s="27">
        <v>422.8</v>
      </c>
      <c r="I44" s="26">
        <v>1659.5</v>
      </c>
      <c r="J44" s="26">
        <v>1380.5</v>
      </c>
      <c r="K44" s="93">
        <v>23082.1</v>
      </c>
    </row>
    <row r="45" spans="4:11" x14ac:dyDescent="0.3">
      <c r="D45" s="8">
        <v>39</v>
      </c>
      <c r="E45" s="25">
        <v>46049</v>
      </c>
      <c r="F45" s="26">
        <v>1361.4</v>
      </c>
      <c r="G45" s="27">
        <v>932.7</v>
      </c>
      <c r="H45" s="27">
        <v>426</v>
      </c>
      <c r="I45" s="26">
        <v>1666.5</v>
      </c>
      <c r="J45" s="26">
        <v>1386.1</v>
      </c>
      <c r="K45" s="93">
        <v>22819.25</v>
      </c>
    </row>
    <row r="46" spans="4:11" x14ac:dyDescent="0.3">
      <c r="D46" s="8">
        <v>40</v>
      </c>
      <c r="E46" s="25">
        <v>46045</v>
      </c>
      <c r="F46" s="26">
        <v>1343.4</v>
      </c>
      <c r="G46" s="27">
        <v>926.4</v>
      </c>
      <c r="H46" s="27">
        <v>421.6</v>
      </c>
      <c r="I46" s="26">
        <v>1682.7</v>
      </c>
      <c r="J46" s="26">
        <v>1402.5</v>
      </c>
      <c r="K46" s="93">
        <v>22706.2</v>
      </c>
    </row>
    <row r="47" spans="4:11" x14ac:dyDescent="0.3">
      <c r="D47" s="8">
        <v>41</v>
      </c>
      <c r="E47" s="25">
        <v>46044</v>
      </c>
      <c r="F47" s="26">
        <v>1345.5</v>
      </c>
      <c r="G47" s="27">
        <v>916.1</v>
      </c>
      <c r="H47" s="27">
        <v>423.8</v>
      </c>
      <c r="I47" s="26">
        <v>1670.8</v>
      </c>
      <c r="J47" s="26">
        <v>1404.6</v>
      </c>
      <c r="K47" s="93">
        <v>23008.75</v>
      </c>
    </row>
    <row r="48" spans="4:11" x14ac:dyDescent="0.3">
      <c r="D48" s="8">
        <v>42</v>
      </c>
      <c r="E48" s="25">
        <v>46043</v>
      </c>
      <c r="F48" s="26">
        <v>1349</v>
      </c>
      <c r="G48" s="27">
        <v>918.7</v>
      </c>
      <c r="H48" s="27">
        <v>426.9</v>
      </c>
      <c r="I48" s="26">
        <v>1663.5</v>
      </c>
      <c r="J48" s="26">
        <v>1394</v>
      </c>
      <c r="K48" s="93">
        <v>22835.15</v>
      </c>
    </row>
    <row r="49" spans="4:11" x14ac:dyDescent="0.3">
      <c r="D49" s="8">
        <v>43</v>
      </c>
      <c r="E49" s="25">
        <v>46042</v>
      </c>
      <c r="F49" s="26">
        <v>1375.8</v>
      </c>
      <c r="G49" s="27">
        <v>920.35</v>
      </c>
      <c r="H49" s="27">
        <v>418.2</v>
      </c>
      <c r="I49" s="26">
        <v>1654.4</v>
      </c>
      <c r="J49" s="26">
        <v>1413.6</v>
      </c>
      <c r="K49" s="93">
        <v>22946.65</v>
      </c>
    </row>
    <row r="50" spans="4:11" x14ac:dyDescent="0.3">
      <c r="D50" s="8">
        <v>44</v>
      </c>
      <c r="E50" s="25">
        <v>46041</v>
      </c>
      <c r="F50" s="26">
        <v>1380.6</v>
      </c>
      <c r="G50" s="27">
        <v>931.2</v>
      </c>
      <c r="H50" s="27">
        <v>421</v>
      </c>
      <c r="I50" s="26">
        <v>1658.9</v>
      </c>
      <c r="J50" s="26">
        <v>1457.9</v>
      </c>
      <c r="K50" s="93">
        <v>23373.75</v>
      </c>
    </row>
    <row r="51" spans="4:11" x14ac:dyDescent="0.3">
      <c r="D51" s="8">
        <v>45</v>
      </c>
      <c r="E51" s="25">
        <v>46038</v>
      </c>
      <c r="F51" s="26">
        <v>1410.8</v>
      </c>
      <c r="G51" s="27">
        <v>927.9</v>
      </c>
      <c r="H51" s="26">
        <v>2132.6</v>
      </c>
      <c r="I51" s="26">
        <v>1681.2</v>
      </c>
      <c r="J51" s="26">
        <v>1458.8</v>
      </c>
      <c r="K51" s="93">
        <v>23485.3</v>
      </c>
    </row>
    <row r="52" spans="4:11" x14ac:dyDescent="0.3">
      <c r="D52" s="8">
        <v>46</v>
      </c>
      <c r="E52" s="25">
        <v>46036</v>
      </c>
      <c r="F52" s="26">
        <v>1418.4</v>
      </c>
      <c r="G52" s="27">
        <v>931.1</v>
      </c>
      <c r="H52" s="26">
        <v>2133.3000000000002</v>
      </c>
      <c r="I52" s="26">
        <v>1689.8</v>
      </c>
      <c r="J52" s="26">
        <v>1452.8</v>
      </c>
      <c r="K52" s="93">
        <v>23475.85</v>
      </c>
    </row>
    <row r="53" spans="4:11" x14ac:dyDescent="0.3">
      <c r="D53" s="8">
        <v>47</v>
      </c>
      <c r="E53" s="25">
        <v>46035</v>
      </c>
      <c r="F53" s="26">
        <v>1437</v>
      </c>
      <c r="G53" s="27">
        <v>925.45</v>
      </c>
      <c r="H53" s="26">
        <v>2126.8000000000002</v>
      </c>
      <c r="I53" s="26">
        <v>1599.8</v>
      </c>
      <c r="J53" s="26">
        <v>1483.2</v>
      </c>
      <c r="K53" s="93">
        <v>23480.65</v>
      </c>
    </row>
    <row r="54" spans="4:11" x14ac:dyDescent="0.3">
      <c r="D54" s="8">
        <v>48</v>
      </c>
      <c r="E54" s="25">
        <v>46034</v>
      </c>
      <c r="F54" s="26">
        <v>1413.1</v>
      </c>
      <c r="G54" s="27">
        <v>937.35</v>
      </c>
      <c r="H54" s="26">
        <v>2133</v>
      </c>
      <c r="I54" s="26">
        <v>1599</v>
      </c>
      <c r="J54" s="26">
        <v>1475.3</v>
      </c>
      <c r="K54" s="93">
        <v>23510.45</v>
      </c>
    </row>
    <row r="55" spans="4:11" x14ac:dyDescent="0.3">
      <c r="D55" s="8">
        <v>49</v>
      </c>
      <c r="E55" s="25">
        <v>46031</v>
      </c>
      <c r="F55" s="26">
        <v>1404.3</v>
      </c>
      <c r="G55" s="27">
        <v>936.95</v>
      </c>
      <c r="H55" s="26">
        <v>2144</v>
      </c>
      <c r="I55" s="26">
        <v>1595.9</v>
      </c>
      <c r="J55" s="26">
        <v>1470.6</v>
      </c>
      <c r="K55" s="93">
        <v>23467.35</v>
      </c>
    </row>
    <row r="56" spans="4:11" x14ac:dyDescent="0.3">
      <c r="D56" s="8">
        <v>50</v>
      </c>
      <c r="E56" s="25">
        <v>46030</v>
      </c>
      <c r="F56" s="26">
        <v>1435</v>
      </c>
      <c r="G56" s="27">
        <v>939</v>
      </c>
      <c r="H56" s="26">
        <v>2146.4</v>
      </c>
      <c r="I56" s="26">
        <v>1614.1</v>
      </c>
      <c r="J56" s="26">
        <v>1504.2</v>
      </c>
      <c r="K56" s="93">
        <v>23680.1</v>
      </c>
    </row>
    <row r="57" spans="4:11" x14ac:dyDescent="0.3">
      <c r="D57" s="8">
        <v>51</v>
      </c>
      <c r="E57" s="25">
        <v>46029</v>
      </c>
      <c r="F57" s="26">
        <v>1427.7</v>
      </c>
      <c r="G57" s="27">
        <v>946.7</v>
      </c>
      <c r="H57" s="26">
        <v>2190.9</v>
      </c>
      <c r="I57" s="26">
        <v>1613.3</v>
      </c>
      <c r="J57" s="26">
        <v>1507.6</v>
      </c>
      <c r="K57" s="93">
        <v>24016.6</v>
      </c>
    </row>
    <row r="58" spans="4:11" x14ac:dyDescent="0.3">
      <c r="D58" s="8">
        <v>52</v>
      </c>
      <c r="E58" s="25">
        <v>46028</v>
      </c>
      <c r="F58" s="26">
        <v>1411.2</v>
      </c>
      <c r="G58" s="27">
        <v>949.05</v>
      </c>
      <c r="H58" s="26">
        <v>2195.1</v>
      </c>
      <c r="I58" s="26">
        <v>1639</v>
      </c>
      <c r="J58" s="26">
        <v>1578.1</v>
      </c>
      <c r="K58" s="93">
        <v>24010.5</v>
      </c>
    </row>
    <row r="59" spans="4:11" x14ac:dyDescent="0.3">
      <c r="D59" s="8">
        <v>53</v>
      </c>
      <c r="E59" s="25">
        <v>46027</v>
      </c>
      <c r="F59" s="26">
        <v>1371.5</v>
      </c>
      <c r="G59" s="27">
        <v>962.2</v>
      </c>
      <c r="H59" s="26">
        <v>2217.8000000000002</v>
      </c>
      <c r="I59" s="26">
        <v>1612.2</v>
      </c>
      <c r="J59" s="26">
        <v>1592.3</v>
      </c>
      <c r="K59" s="93">
        <v>24058.45</v>
      </c>
    </row>
    <row r="60" spans="4:11" x14ac:dyDescent="0.3">
      <c r="D60" s="8">
        <v>54</v>
      </c>
      <c r="E60" s="25">
        <v>46024</v>
      </c>
      <c r="F60" s="26">
        <v>1355.4</v>
      </c>
      <c r="G60" s="27">
        <v>977.5</v>
      </c>
      <c r="H60" s="26">
        <v>2201.1</v>
      </c>
      <c r="I60" s="26">
        <v>1606.4</v>
      </c>
      <c r="J60" s="26">
        <v>1575.6</v>
      </c>
      <c r="K60" s="93">
        <v>24099</v>
      </c>
    </row>
    <row r="61" spans="4:11" x14ac:dyDescent="0.3">
      <c r="D61" s="8">
        <v>55</v>
      </c>
      <c r="E61" s="25">
        <v>46023</v>
      </c>
      <c r="F61" s="26">
        <v>1338</v>
      </c>
      <c r="G61" s="26">
        <v>1001.6</v>
      </c>
      <c r="H61" s="26">
        <v>2152.6999999999998</v>
      </c>
      <c r="I61" s="26">
        <v>1640.4</v>
      </c>
      <c r="J61" s="26">
        <v>1570.4</v>
      </c>
      <c r="K61" s="93">
        <v>23909.55</v>
      </c>
    </row>
    <row r="62" spans="4:11" x14ac:dyDescent="0.3">
      <c r="D62" s="8">
        <v>56</v>
      </c>
      <c r="E62" s="25">
        <v>46022</v>
      </c>
      <c r="F62" s="26">
        <v>1342.9</v>
      </c>
      <c r="G62" s="27">
        <v>991.15</v>
      </c>
      <c r="H62" s="26">
        <v>2158.6</v>
      </c>
      <c r="I62" s="26">
        <v>1629.8</v>
      </c>
      <c r="J62" s="26">
        <v>1539.8</v>
      </c>
      <c r="K62" s="93">
        <v>23871.55</v>
      </c>
    </row>
    <row r="63" spans="4:11" x14ac:dyDescent="0.3">
      <c r="D63" s="8">
        <v>57</v>
      </c>
      <c r="E63" s="25">
        <v>46021</v>
      </c>
      <c r="F63" s="26">
        <v>1342.5</v>
      </c>
      <c r="G63" s="27">
        <v>991.2</v>
      </c>
      <c r="H63" s="26">
        <v>2164.1999999999998</v>
      </c>
      <c r="I63" s="26">
        <v>1615.4</v>
      </c>
      <c r="J63" s="26">
        <v>1545.6</v>
      </c>
      <c r="K63" s="93">
        <v>23668.799999999999</v>
      </c>
    </row>
    <row r="64" spans="4:11" x14ac:dyDescent="0.3">
      <c r="D64" s="8">
        <v>58</v>
      </c>
      <c r="E64" s="25">
        <v>46020</v>
      </c>
      <c r="F64" s="26">
        <v>1343.3</v>
      </c>
      <c r="G64" s="27">
        <v>990.9</v>
      </c>
      <c r="H64" s="26">
        <v>2163.6999999999998</v>
      </c>
      <c r="I64" s="26">
        <v>1621.6</v>
      </c>
      <c r="J64" s="26">
        <v>1559.2</v>
      </c>
      <c r="K64" s="93">
        <v>23682.1</v>
      </c>
    </row>
    <row r="65" spans="4:11" x14ac:dyDescent="0.3">
      <c r="D65" s="8">
        <v>59</v>
      </c>
      <c r="E65" s="25">
        <v>46017</v>
      </c>
      <c r="F65" s="26">
        <v>1350.4</v>
      </c>
      <c r="G65" s="27">
        <v>991.7</v>
      </c>
      <c r="H65" s="26">
        <v>2162.6999999999998</v>
      </c>
      <c r="I65" s="26">
        <v>1644.7</v>
      </c>
      <c r="J65" s="26">
        <v>1558.2</v>
      </c>
      <c r="K65" s="93">
        <v>23780.25</v>
      </c>
    </row>
    <row r="66" spans="4:11" x14ac:dyDescent="0.3">
      <c r="D66" s="8">
        <v>60</v>
      </c>
      <c r="E66" s="25">
        <v>46015</v>
      </c>
      <c r="F66" s="26">
        <v>1359.8</v>
      </c>
      <c r="G66" s="27">
        <v>992.1</v>
      </c>
      <c r="H66" s="26">
        <v>2149.6999999999998</v>
      </c>
      <c r="I66" s="26">
        <v>1656.1</v>
      </c>
      <c r="J66" s="26">
        <v>1570.7</v>
      </c>
      <c r="K66" s="93">
        <v>23850.25</v>
      </c>
    </row>
    <row r="67" spans="4:11" x14ac:dyDescent="0.3">
      <c r="D67" s="8">
        <v>61</v>
      </c>
      <c r="E67" s="25">
        <v>46014</v>
      </c>
      <c r="F67" s="26">
        <v>1363</v>
      </c>
      <c r="G67" s="27">
        <v>997.2</v>
      </c>
      <c r="H67" s="26">
        <v>2159.5</v>
      </c>
      <c r="I67" s="26">
        <v>1663.4</v>
      </c>
      <c r="J67" s="26">
        <v>1575.4</v>
      </c>
      <c r="K67" s="93">
        <v>23895.15</v>
      </c>
    </row>
    <row r="68" spans="4:11" x14ac:dyDescent="0.3">
      <c r="D68" s="8">
        <v>62</v>
      </c>
      <c r="E68" s="25">
        <v>46013</v>
      </c>
      <c r="F68" s="26">
        <v>1368.5</v>
      </c>
      <c r="G68" s="27">
        <v>996.6</v>
      </c>
      <c r="H68" s="26">
        <v>2164.6</v>
      </c>
      <c r="I68" s="26">
        <v>1668.3</v>
      </c>
      <c r="J68" s="26">
        <v>1565.1</v>
      </c>
      <c r="K68" s="93">
        <v>23867.65</v>
      </c>
    </row>
    <row r="69" spans="4:11" x14ac:dyDescent="0.3">
      <c r="D69" s="8">
        <v>63</v>
      </c>
      <c r="E69" s="25">
        <v>46010</v>
      </c>
      <c r="F69" s="26">
        <v>1354.1</v>
      </c>
      <c r="G69" s="27">
        <v>987.7</v>
      </c>
      <c r="H69" s="26">
        <v>2173.1999999999998</v>
      </c>
      <c r="I69" s="26">
        <v>1689.6</v>
      </c>
      <c r="J69" s="26">
        <v>1544.4</v>
      </c>
      <c r="K69" s="93">
        <v>23677.55</v>
      </c>
    </row>
    <row r="70" spans="4:11" x14ac:dyDescent="0.3">
      <c r="D70" s="8">
        <v>64</v>
      </c>
      <c r="E70" s="25">
        <v>46009</v>
      </c>
      <c r="F70" s="26">
        <v>1356.8</v>
      </c>
      <c r="G70" s="27">
        <v>985.5</v>
      </c>
      <c r="H70" s="26">
        <v>2182.4</v>
      </c>
      <c r="I70" s="26">
        <v>1638.7</v>
      </c>
      <c r="J70" s="26">
        <v>1544.4</v>
      </c>
      <c r="K70" s="93">
        <v>23491.5</v>
      </c>
    </row>
    <row r="71" spans="4:11" x14ac:dyDescent="0.3">
      <c r="D71" s="8">
        <v>65</v>
      </c>
      <c r="E71" s="25">
        <v>46008</v>
      </c>
      <c r="F71" s="26">
        <v>1352.4</v>
      </c>
      <c r="G71" s="27">
        <v>979.7</v>
      </c>
      <c r="H71" s="26">
        <v>2181.3000000000002</v>
      </c>
      <c r="I71" s="26">
        <v>1626.8</v>
      </c>
      <c r="J71" s="26">
        <v>1542.3</v>
      </c>
      <c r="K71" s="93">
        <v>23496.05</v>
      </c>
    </row>
    <row r="72" spans="4:11" x14ac:dyDescent="0.3">
      <c r="D72" s="8">
        <v>66</v>
      </c>
      <c r="E72" s="25">
        <v>46007</v>
      </c>
      <c r="F72" s="26">
        <v>1366</v>
      </c>
      <c r="G72" s="27">
        <v>984</v>
      </c>
      <c r="H72" s="26">
        <v>2176.6</v>
      </c>
      <c r="I72" s="26">
        <v>1602</v>
      </c>
      <c r="J72" s="26">
        <v>1556.2</v>
      </c>
      <c r="K72" s="93">
        <v>23570.15</v>
      </c>
    </row>
    <row r="73" spans="4:11" x14ac:dyDescent="0.3">
      <c r="D73" s="8">
        <v>67</v>
      </c>
      <c r="E73" s="25">
        <v>46006</v>
      </c>
      <c r="F73" s="26">
        <v>1365.2</v>
      </c>
      <c r="G73" s="27">
        <v>994.3</v>
      </c>
      <c r="H73" s="26">
        <v>2180.1999999999998</v>
      </c>
      <c r="I73" s="26">
        <v>1592.9</v>
      </c>
      <c r="J73" s="26">
        <v>1556.5</v>
      </c>
      <c r="K73" s="93">
        <v>23725.200000000001</v>
      </c>
    </row>
    <row r="74" spans="4:11" x14ac:dyDescent="0.3">
      <c r="D74" s="8">
        <v>68</v>
      </c>
      <c r="E74" s="25">
        <v>46003</v>
      </c>
      <c r="F74" s="26">
        <v>1366</v>
      </c>
      <c r="G74" s="27">
        <v>996.1</v>
      </c>
      <c r="H74" s="26">
        <v>2129.5</v>
      </c>
      <c r="I74" s="26">
        <v>1606.8</v>
      </c>
      <c r="J74" s="26">
        <v>1545</v>
      </c>
      <c r="K74" s="93">
        <v>23726.2</v>
      </c>
    </row>
    <row r="75" spans="4:11" x14ac:dyDescent="0.3">
      <c r="D75" s="8">
        <v>69</v>
      </c>
      <c r="E75" s="25">
        <v>46002</v>
      </c>
      <c r="F75" s="26">
        <v>1360</v>
      </c>
      <c r="G75" s="26">
        <v>1001.5</v>
      </c>
      <c r="H75" s="26">
        <v>2127.6999999999998</v>
      </c>
      <c r="I75" s="26">
        <v>1598.2</v>
      </c>
      <c r="J75" s="26">
        <v>1536.9</v>
      </c>
      <c r="K75" s="93">
        <v>23550.85</v>
      </c>
    </row>
    <row r="76" spans="4:11" x14ac:dyDescent="0.3">
      <c r="D76" s="8">
        <v>70</v>
      </c>
      <c r="E76" s="25">
        <v>46001</v>
      </c>
      <c r="F76" s="26">
        <v>1363.6</v>
      </c>
      <c r="G76" s="27">
        <v>989.8</v>
      </c>
      <c r="H76" s="26">
        <v>2154.9</v>
      </c>
      <c r="I76" s="26">
        <v>1584.8</v>
      </c>
      <c r="J76" s="26">
        <v>1543</v>
      </c>
      <c r="K76" s="93">
        <v>23408.799999999999</v>
      </c>
    </row>
    <row r="77" spans="4:11" x14ac:dyDescent="0.3">
      <c r="D77" s="8">
        <v>71</v>
      </c>
      <c r="E77" s="25">
        <v>46001</v>
      </c>
      <c r="F77" s="26">
        <v>1361</v>
      </c>
      <c r="G77" s="26">
        <v>1000.3</v>
      </c>
      <c r="H77" s="26">
        <v>2131.6</v>
      </c>
      <c r="I77" s="26">
        <v>1598</v>
      </c>
      <c r="J77" s="26">
        <v>1529.4</v>
      </c>
      <c r="K77" s="93">
        <v>23516.25</v>
      </c>
    </row>
    <row r="78" spans="4:11" x14ac:dyDescent="0.3">
      <c r="D78" s="8">
        <v>72</v>
      </c>
      <c r="E78" s="25">
        <v>46000</v>
      </c>
      <c r="F78" s="26">
        <v>1375.2</v>
      </c>
      <c r="G78" s="27">
        <v>997.1</v>
      </c>
      <c r="H78" s="26">
        <v>2135.4</v>
      </c>
      <c r="I78" s="26">
        <v>1599</v>
      </c>
      <c r="J78" s="26">
        <v>1540.6</v>
      </c>
      <c r="K78" s="93">
        <v>23526.2</v>
      </c>
    </row>
    <row r="79" spans="4:11" x14ac:dyDescent="0.3">
      <c r="D79" s="8">
        <v>73</v>
      </c>
      <c r="E79" s="25">
        <v>45999</v>
      </c>
      <c r="F79" s="26">
        <v>1389.6</v>
      </c>
      <c r="G79" s="26">
        <v>1003.1</v>
      </c>
      <c r="H79" s="26">
        <v>2146.1</v>
      </c>
      <c r="I79" s="26">
        <v>1610.8</v>
      </c>
      <c r="J79" s="26">
        <v>1535.6</v>
      </c>
      <c r="K79" s="93">
        <v>23835.25</v>
      </c>
    </row>
    <row r="80" spans="4:11" x14ac:dyDescent="0.3">
      <c r="D80" s="8">
        <v>74</v>
      </c>
      <c r="E80" s="25">
        <v>45996</v>
      </c>
      <c r="F80" s="26">
        <v>1392.5</v>
      </c>
      <c r="G80" s="26">
        <v>1003.3</v>
      </c>
      <c r="H80" s="26">
        <v>2142.4</v>
      </c>
      <c r="I80" s="26">
        <v>1616.2</v>
      </c>
      <c r="J80" s="26">
        <v>1538.8</v>
      </c>
      <c r="K80" s="93">
        <v>23741.1</v>
      </c>
    </row>
    <row r="81" spans="4:11" x14ac:dyDescent="0.3">
      <c r="D81" s="8">
        <v>75</v>
      </c>
      <c r="E81" s="25">
        <v>45995</v>
      </c>
      <c r="F81" s="26">
        <v>1386.7</v>
      </c>
      <c r="G81" s="27">
        <v>997.2</v>
      </c>
      <c r="H81" s="26">
        <v>2147.6</v>
      </c>
      <c r="I81" s="26">
        <v>1597.6</v>
      </c>
      <c r="J81" s="26">
        <v>1546.3</v>
      </c>
      <c r="K81" s="93">
        <v>23716.3</v>
      </c>
    </row>
    <row r="82" spans="4:11" x14ac:dyDescent="0.3">
      <c r="D82" s="8">
        <v>76</v>
      </c>
      <c r="E82" s="25">
        <v>45994</v>
      </c>
      <c r="F82" s="26">
        <v>1391.5</v>
      </c>
      <c r="G82" s="26">
        <v>1000.5</v>
      </c>
      <c r="H82" s="26">
        <v>2124.4</v>
      </c>
      <c r="I82" s="26">
        <v>1578.7</v>
      </c>
      <c r="J82" s="26">
        <v>1566.1</v>
      </c>
      <c r="K82" s="93">
        <v>23822.25</v>
      </c>
    </row>
    <row r="83" spans="4:11" x14ac:dyDescent="0.3">
      <c r="D83" s="8">
        <v>77</v>
      </c>
      <c r="E83" s="25">
        <v>45993</v>
      </c>
      <c r="F83" s="26">
        <v>1373</v>
      </c>
      <c r="G83" s="27">
        <v>989.8</v>
      </c>
      <c r="H83" s="26">
        <v>2110.1999999999998</v>
      </c>
      <c r="I83" s="26">
        <v>1561</v>
      </c>
      <c r="J83" s="26">
        <v>1567.5</v>
      </c>
      <c r="K83" s="93">
        <v>23922.45</v>
      </c>
    </row>
    <row r="84" spans="4:11" x14ac:dyDescent="0.3">
      <c r="D84" s="8">
        <v>78</v>
      </c>
      <c r="E84" s="25">
        <v>45992</v>
      </c>
      <c r="F84" s="26">
        <v>1390.1</v>
      </c>
      <c r="G84" s="26">
        <v>1002.1</v>
      </c>
      <c r="H84" s="26">
        <v>2103.8000000000002</v>
      </c>
      <c r="I84" s="26">
        <v>1564</v>
      </c>
      <c r="J84" s="26">
        <v>1563.4</v>
      </c>
      <c r="K84" s="93">
        <v>23933.200000000001</v>
      </c>
    </row>
    <row r="85" spans="4:11" x14ac:dyDescent="0.3">
      <c r="D85" s="8">
        <v>79</v>
      </c>
      <c r="E85" s="25">
        <v>45989</v>
      </c>
      <c r="F85" s="26">
        <v>1388.8</v>
      </c>
      <c r="G85" s="26">
        <v>1007.6</v>
      </c>
      <c r="H85" s="26">
        <v>2069.9</v>
      </c>
      <c r="I85" s="26">
        <v>1560.1</v>
      </c>
      <c r="J85" s="26">
        <v>1569.9</v>
      </c>
      <c r="K85" s="93">
        <v>23947.75</v>
      </c>
    </row>
    <row r="86" spans="4:11" x14ac:dyDescent="0.3">
      <c r="D86" s="8">
        <v>80</v>
      </c>
      <c r="E86" s="25">
        <v>45988</v>
      </c>
      <c r="F86" s="26">
        <v>1392.2</v>
      </c>
      <c r="G86" s="26">
        <v>1009.5</v>
      </c>
      <c r="H86" s="26">
        <v>2087.3000000000002</v>
      </c>
      <c r="I86" s="26">
        <v>1566.4</v>
      </c>
      <c r="J86" s="26">
        <v>1539.7</v>
      </c>
      <c r="K86" s="93">
        <v>23955.200000000001</v>
      </c>
    </row>
    <row r="87" spans="4:11" x14ac:dyDescent="0.3">
      <c r="D87" s="8">
        <v>81</v>
      </c>
      <c r="E87" s="25">
        <v>45987</v>
      </c>
      <c r="F87" s="26">
        <v>1375</v>
      </c>
      <c r="G87" s="26">
        <v>1003.9</v>
      </c>
      <c r="H87" s="26">
        <v>2087.8000000000002</v>
      </c>
      <c r="I87" s="26">
        <v>1557.9</v>
      </c>
      <c r="J87" s="26">
        <v>1535.9</v>
      </c>
      <c r="K87" s="93">
        <v>23655.05</v>
      </c>
    </row>
    <row r="88" spans="4:11" x14ac:dyDescent="0.3">
      <c r="D88" s="8">
        <v>82</v>
      </c>
      <c r="E88" s="25">
        <v>45986</v>
      </c>
      <c r="F88" s="26">
        <v>1357.8</v>
      </c>
      <c r="G88" s="27">
        <v>989.8</v>
      </c>
      <c r="H88" s="26">
        <v>2098.6999999999998</v>
      </c>
      <c r="I88" s="26">
        <v>1530.6</v>
      </c>
      <c r="J88" s="26">
        <v>1534</v>
      </c>
      <c r="K88" s="93">
        <v>23674.55</v>
      </c>
    </row>
    <row r="89" spans="4:11" x14ac:dyDescent="0.3">
      <c r="D89" s="8">
        <v>83</v>
      </c>
      <c r="E89" s="25">
        <v>45985</v>
      </c>
      <c r="F89" s="26">
        <v>1368.4</v>
      </c>
      <c r="G89" s="27">
        <v>999.15</v>
      </c>
      <c r="H89" s="26">
        <v>2105.9</v>
      </c>
      <c r="I89" s="26">
        <v>1548</v>
      </c>
      <c r="J89" s="26">
        <v>1546.6</v>
      </c>
      <c r="K89" s="93">
        <v>23790.25</v>
      </c>
    </row>
    <row r="90" spans="4:11" x14ac:dyDescent="0.3">
      <c r="D90" s="8">
        <v>84</v>
      </c>
      <c r="E90" s="25">
        <v>45982</v>
      </c>
      <c r="F90" s="26">
        <v>1369.5</v>
      </c>
      <c r="G90" s="27">
        <v>998.05</v>
      </c>
      <c r="H90" s="26">
        <v>2093.1</v>
      </c>
      <c r="I90" s="26">
        <v>1545</v>
      </c>
      <c r="J90" s="26">
        <v>1546.6</v>
      </c>
      <c r="K90" s="93">
        <v>23975.45</v>
      </c>
    </row>
    <row r="91" spans="4:11" x14ac:dyDescent="0.3">
      <c r="D91" s="8">
        <v>85</v>
      </c>
      <c r="E91" s="25">
        <v>45981</v>
      </c>
      <c r="F91" s="26">
        <v>1383</v>
      </c>
      <c r="G91" s="26">
        <v>1008.85</v>
      </c>
      <c r="H91" s="26">
        <v>2102.9</v>
      </c>
      <c r="I91" s="26">
        <v>1536.5</v>
      </c>
      <c r="J91" s="26">
        <v>1549.1</v>
      </c>
      <c r="K91" s="93">
        <v>23906.3</v>
      </c>
    </row>
    <row r="92" spans="4:11" x14ac:dyDescent="0.3">
      <c r="D92" s="8">
        <v>86</v>
      </c>
      <c r="E92" s="25">
        <v>45980</v>
      </c>
      <c r="F92" s="26">
        <v>1383.1</v>
      </c>
      <c r="G92" s="27">
        <v>992.45</v>
      </c>
      <c r="H92" s="26">
        <v>2079.6999999999998</v>
      </c>
      <c r="I92" s="26">
        <v>1541.1</v>
      </c>
      <c r="J92" s="26">
        <v>1519.4</v>
      </c>
      <c r="K92" s="93">
        <v>23824.65</v>
      </c>
    </row>
    <row r="93" spans="4:11" x14ac:dyDescent="0.3">
      <c r="D93" s="8">
        <v>87</v>
      </c>
      <c r="E93" s="25">
        <v>45979</v>
      </c>
      <c r="F93" s="26">
        <v>1379</v>
      </c>
      <c r="G93" s="27">
        <v>992.45</v>
      </c>
      <c r="H93" s="26">
        <v>2084.5</v>
      </c>
      <c r="I93" s="26">
        <v>1507.6</v>
      </c>
      <c r="J93" s="26">
        <v>1519.4</v>
      </c>
      <c r="K93" s="93">
        <v>23954.55</v>
      </c>
    </row>
    <row r="94" spans="4:11" x14ac:dyDescent="0.3">
      <c r="D94" s="8">
        <v>88</v>
      </c>
      <c r="E94" s="25">
        <v>45979</v>
      </c>
      <c r="F94" s="26">
        <v>1373.4</v>
      </c>
      <c r="G94" s="27">
        <v>994.6</v>
      </c>
      <c r="H94" s="26">
        <v>2075.1999999999998</v>
      </c>
      <c r="I94" s="26">
        <v>1486.4</v>
      </c>
      <c r="J94" s="26">
        <v>1518.9</v>
      </c>
      <c r="K94" s="93">
        <v>23836.35</v>
      </c>
    </row>
    <row r="95" spans="4:11" x14ac:dyDescent="0.3">
      <c r="D95" s="8">
        <v>89</v>
      </c>
      <c r="E95" s="25">
        <v>45978</v>
      </c>
      <c r="F95" s="26">
        <v>1379</v>
      </c>
      <c r="G95" s="27">
        <v>996.55</v>
      </c>
      <c r="H95" s="26">
        <v>2086.9</v>
      </c>
      <c r="I95" s="26">
        <v>1502.8</v>
      </c>
      <c r="J95" s="26">
        <v>1518.3</v>
      </c>
      <c r="K95" s="93">
        <v>23816</v>
      </c>
    </row>
    <row r="96" spans="4:11" x14ac:dyDescent="0.3">
      <c r="D96" s="8">
        <v>90</v>
      </c>
      <c r="E96" s="25">
        <v>45975</v>
      </c>
      <c r="F96" s="26">
        <v>1373</v>
      </c>
      <c r="G96" s="27">
        <v>989.6</v>
      </c>
      <c r="H96" s="26">
        <v>2092.6999999999998</v>
      </c>
      <c r="I96" s="26">
        <v>1541.8</v>
      </c>
      <c r="J96" s="26">
        <v>1518.9</v>
      </c>
      <c r="K96" s="93">
        <v>23836.9</v>
      </c>
    </row>
    <row r="97" spans="4:11" x14ac:dyDescent="0.3">
      <c r="D97" s="8">
        <v>91</v>
      </c>
      <c r="E97" s="25">
        <v>45974</v>
      </c>
      <c r="F97" s="26">
        <v>1385.9</v>
      </c>
      <c r="G97" s="27">
        <v>986.65</v>
      </c>
      <c r="H97" s="26">
        <v>2088.3000000000002</v>
      </c>
      <c r="I97" s="26">
        <v>1551.7</v>
      </c>
      <c r="J97" s="26">
        <v>1510.9</v>
      </c>
      <c r="K97" s="93">
        <v>23682.65</v>
      </c>
    </row>
    <row r="98" spans="4:11" x14ac:dyDescent="0.3">
      <c r="D98" s="8">
        <v>92</v>
      </c>
      <c r="E98" s="25">
        <v>45973</v>
      </c>
      <c r="F98" s="26">
        <v>1358.9</v>
      </c>
      <c r="G98" s="27">
        <v>989.5</v>
      </c>
      <c r="H98" s="26">
        <v>2083.1999999999998</v>
      </c>
      <c r="I98" s="26">
        <v>1530.3</v>
      </c>
      <c r="J98" s="26">
        <v>1511.5</v>
      </c>
      <c r="K98" s="93">
        <v>23596.9</v>
      </c>
    </row>
    <row r="99" spans="4:11" x14ac:dyDescent="0.3">
      <c r="D99" s="8">
        <v>93</v>
      </c>
      <c r="E99" s="25">
        <v>45972</v>
      </c>
      <c r="F99" s="26">
        <v>1358.3</v>
      </c>
      <c r="G99" s="27">
        <v>991.7</v>
      </c>
      <c r="H99" s="26">
        <v>2096.6</v>
      </c>
      <c r="I99" s="26">
        <v>1513.5</v>
      </c>
      <c r="J99" s="26">
        <v>1493.4</v>
      </c>
      <c r="K99" s="93">
        <v>23521.5</v>
      </c>
    </row>
    <row r="100" spans="4:11" x14ac:dyDescent="0.3">
      <c r="D100" s="8">
        <v>94</v>
      </c>
      <c r="E100" s="25">
        <v>45971</v>
      </c>
      <c r="F100" s="26">
        <v>1332</v>
      </c>
      <c r="G100" s="27">
        <v>982.3</v>
      </c>
      <c r="H100" s="26">
        <v>2102.1999999999998</v>
      </c>
      <c r="I100" s="26">
        <v>1466.7</v>
      </c>
      <c r="J100" s="26">
        <v>1478</v>
      </c>
      <c r="K100" s="93">
        <v>23513.15</v>
      </c>
    </row>
    <row r="101" spans="4:11" x14ac:dyDescent="0.3">
      <c r="D101" s="8">
        <v>95</v>
      </c>
      <c r="E101" s="25">
        <v>45971</v>
      </c>
      <c r="F101" s="26">
        <v>1348</v>
      </c>
      <c r="G101" s="27">
        <v>984.5</v>
      </c>
      <c r="H101" s="26">
        <v>2113.5</v>
      </c>
      <c r="I101" s="26">
        <v>1476.8</v>
      </c>
      <c r="J101" s="26">
        <v>1489.3</v>
      </c>
      <c r="K101" s="93">
        <v>23675.45</v>
      </c>
    </row>
    <row r="102" spans="4:11" x14ac:dyDescent="0.3">
      <c r="D102" s="8">
        <v>96</v>
      </c>
      <c r="E102" s="25">
        <v>45968</v>
      </c>
      <c r="F102" s="26">
        <v>1343</v>
      </c>
      <c r="G102" s="27">
        <v>984.65</v>
      </c>
      <c r="H102" s="26">
        <v>2137.1999999999998</v>
      </c>
      <c r="I102" s="26">
        <v>1467.9</v>
      </c>
      <c r="J102" s="26">
        <v>1496.1</v>
      </c>
      <c r="K102" s="93">
        <v>23810.7</v>
      </c>
    </row>
    <row r="103" spans="4:11" x14ac:dyDescent="0.3">
      <c r="D103" s="8">
        <v>97</v>
      </c>
      <c r="E103" s="25">
        <v>45967</v>
      </c>
      <c r="F103" s="26">
        <v>1320.4</v>
      </c>
      <c r="G103" s="27">
        <v>985.25</v>
      </c>
      <c r="H103" s="26">
        <v>2150.5</v>
      </c>
      <c r="I103" s="26">
        <v>1485.5</v>
      </c>
      <c r="J103" s="26">
        <v>1473.1</v>
      </c>
      <c r="K103" s="93">
        <v>23710.400000000001</v>
      </c>
    </row>
    <row r="104" spans="4:11" x14ac:dyDescent="0.3">
      <c r="D104" s="8">
        <v>98</v>
      </c>
      <c r="E104" s="25">
        <v>45965</v>
      </c>
      <c r="F104" s="26">
        <v>1336.9</v>
      </c>
      <c r="G104" s="27">
        <v>992.65</v>
      </c>
      <c r="H104" s="26">
        <v>2160.8000000000002</v>
      </c>
      <c r="I104" s="26">
        <v>1482.3</v>
      </c>
      <c r="J104" s="26">
        <v>1484.7</v>
      </c>
      <c r="K104" s="93">
        <v>23841.3</v>
      </c>
    </row>
    <row r="105" spans="4:11" x14ac:dyDescent="0.3">
      <c r="D105" s="8">
        <v>99</v>
      </c>
      <c r="E105" s="25">
        <v>45964</v>
      </c>
      <c r="F105" s="26">
        <v>1346.4</v>
      </c>
      <c r="G105" s="27">
        <v>987.3</v>
      </c>
      <c r="H105" s="26">
        <v>2148.6</v>
      </c>
      <c r="I105" s="26">
        <v>1493.8</v>
      </c>
      <c r="J105" s="26">
        <v>1486.4</v>
      </c>
      <c r="K105" s="93">
        <v>23952.400000000001</v>
      </c>
    </row>
    <row r="106" spans="4:11" x14ac:dyDescent="0.3">
      <c r="D106" s="8">
        <v>100</v>
      </c>
      <c r="E106" s="25">
        <v>45961</v>
      </c>
      <c r="F106" s="26">
        <v>1345.3</v>
      </c>
      <c r="G106" s="27">
        <v>998.15</v>
      </c>
      <c r="H106" s="26">
        <v>2187</v>
      </c>
      <c r="I106" s="26">
        <v>1510.4</v>
      </c>
      <c r="J106" s="26">
        <v>1475.5</v>
      </c>
      <c r="K106" s="93">
        <v>23812.55</v>
      </c>
    </row>
    <row r="107" spans="4:11" x14ac:dyDescent="0.3">
      <c r="D107" s="8">
        <v>101</v>
      </c>
      <c r="E107" s="25">
        <v>45960</v>
      </c>
      <c r="F107" s="26">
        <v>1362.4</v>
      </c>
      <c r="G107" s="27">
        <v>998.15</v>
      </c>
      <c r="H107" s="26">
        <v>2225.6</v>
      </c>
      <c r="I107" s="26">
        <v>1500.2</v>
      </c>
      <c r="J107" s="26">
        <v>1488.5</v>
      </c>
      <c r="K107" s="93">
        <v>23840.9</v>
      </c>
    </row>
    <row r="108" spans="4:11" x14ac:dyDescent="0.3">
      <c r="D108" s="8">
        <v>102</v>
      </c>
      <c r="E108" s="25">
        <v>45959</v>
      </c>
      <c r="F108" s="26">
        <v>1370.4</v>
      </c>
      <c r="G108" s="26">
        <v>1007.85</v>
      </c>
      <c r="H108" s="26">
        <v>2197</v>
      </c>
      <c r="I108" s="26">
        <v>1504.5</v>
      </c>
      <c r="J108" s="26">
        <v>1504.2</v>
      </c>
      <c r="K108" s="93">
        <v>23686.6</v>
      </c>
    </row>
    <row r="109" spans="4:11" x14ac:dyDescent="0.3">
      <c r="D109" s="8">
        <v>103</v>
      </c>
      <c r="E109" s="25">
        <v>45958</v>
      </c>
      <c r="F109" s="26">
        <v>1363.1</v>
      </c>
      <c r="G109" s="26">
        <v>1003.55</v>
      </c>
      <c r="H109" s="26">
        <v>2213.8000000000002</v>
      </c>
      <c r="I109" s="26">
        <v>1525.4</v>
      </c>
      <c r="J109" s="26">
        <v>1486.9</v>
      </c>
      <c r="K109" s="93">
        <v>23755.9</v>
      </c>
    </row>
    <row r="110" spans="4:11" x14ac:dyDescent="0.3">
      <c r="D110" s="8">
        <v>104</v>
      </c>
      <c r="E110" s="25">
        <v>45957</v>
      </c>
      <c r="F110" s="26">
        <v>1377.6</v>
      </c>
      <c r="G110" s="26">
        <v>1002.95</v>
      </c>
      <c r="H110" s="26">
        <v>2205.8000000000002</v>
      </c>
      <c r="I110" s="26">
        <v>1528.5</v>
      </c>
      <c r="J110" s="26">
        <v>1484.1</v>
      </c>
      <c r="K110" s="93">
        <v>23759.200000000001</v>
      </c>
    </row>
    <row r="111" spans="4:11" x14ac:dyDescent="0.3">
      <c r="D111" s="8">
        <v>105</v>
      </c>
      <c r="E111" s="25">
        <v>45954</v>
      </c>
      <c r="F111" s="26">
        <v>1377.7</v>
      </c>
      <c r="G111" s="27">
        <v>994.75</v>
      </c>
      <c r="H111" s="26">
        <v>2205.4</v>
      </c>
      <c r="I111" s="26">
        <v>1528.5</v>
      </c>
      <c r="J111" s="26">
        <v>1451.6</v>
      </c>
      <c r="K111" s="93">
        <v>23716.1</v>
      </c>
    </row>
    <row r="112" spans="4:11" x14ac:dyDescent="0.3">
      <c r="D112" s="8">
        <v>106</v>
      </c>
      <c r="E112" s="25">
        <v>45953</v>
      </c>
      <c r="F112" s="26">
        <v>1363.7</v>
      </c>
      <c r="G112" s="26">
        <v>1008.8</v>
      </c>
      <c r="H112" s="26">
        <v>2149.6</v>
      </c>
      <c r="I112" s="26">
        <v>1472.4</v>
      </c>
      <c r="J112" s="26">
        <v>1448.4</v>
      </c>
      <c r="K112" s="93">
        <v>23598.05</v>
      </c>
    </row>
    <row r="113" spans="4:11" x14ac:dyDescent="0.3">
      <c r="D113" s="8">
        <v>107</v>
      </c>
      <c r="E113" s="25">
        <v>45951</v>
      </c>
      <c r="F113" s="26">
        <v>1382</v>
      </c>
      <c r="G113" s="26">
        <v>1007.7</v>
      </c>
      <c r="H113" s="26">
        <v>2151.8000000000002</v>
      </c>
      <c r="I113" s="26">
        <v>1460.9</v>
      </c>
      <c r="J113" s="26">
        <v>1465.2</v>
      </c>
      <c r="K113" s="93">
        <v>23563.8</v>
      </c>
    </row>
    <row r="114" spans="4:11" x14ac:dyDescent="0.3">
      <c r="D114" s="8">
        <v>108</v>
      </c>
      <c r="E114" s="25">
        <v>45950</v>
      </c>
      <c r="F114" s="26">
        <v>1390.3</v>
      </c>
      <c r="G114" s="26">
        <v>1002.95</v>
      </c>
      <c r="H114" s="26">
        <v>2152.1</v>
      </c>
      <c r="I114" s="26">
        <v>1460.9</v>
      </c>
      <c r="J114" s="26">
        <v>1466.8</v>
      </c>
      <c r="K114" s="93">
        <v>23377.35</v>
      </c>
    </row>
    <row r="115" spans="4:11" x14ac:dyDescent="0.3">
      <c r="D115" s="8">
        <v>109</v>
      </c>
      <c r="E115" s="25">
        <v>45947</v>
      </c>
      <c r="F115" s="26">
        <v>1436.6</v>
      </c>
      <c r="G115" s="26">
        <v>1002.55</v>
      </c>
      <c r="H115" s="26">
        <v>2150.1</v>
      </c>
      <c r="I115" s="26">
        <v>1441.1</v>
      </c>
      <c r="J115" s="26">
        <v>1416.8</v>
      </c>
      <c r="K115" s="93">
        <v>23184.05</v>
      </c>
    </row>
    <row r="116" spans="4:11" x14ac:dyDescent="0.3">
      <c r="D116" s="8">
        <v>110</v>
      </c>
      <c r="E116" s="25">
        <v>45946</v>
      </c>
      <c r="F116" s="26">
        <v>1417.3</v>
      </c>
      <c r="G116" s="27">
        <v>994.35</v>
      </c>
      <c r="H116" s="26">
        <v>2144.6</v>
      </c>
      <c r="I116" s="26">
        <v>1471.5</v>
      </c>
      <c r="J116" s="26">
        <v>1398.3</v>
      </c>
      <c r="K116" s="93">
        <v>23294.799999999999</v>
      </c>
    </row>
    <row r="117" spans="4:11" x14ac:dyDescent="0.3">
      <c r="D117" s="8">
        <v>111</v>
      </c>
      <c r="E117" s="25">
        <v>45945</v>
      </c>
      <c r="F117" s="26">
        <v>1398.4</v>
      </c>
      <c r="G117" s="27">
        <v>978.25</v>
      </c>
      <c r="H117" s="26">
        <v>2117.8000000000002</v>
      </c>
      <c r="I117" s="26">
        <v>1474.4</v>
      </c>
      <c r="J117" s="26">
        <v>1374.3</v>
      </c>
      <c r="K117" s="93">
        <v>23337.55</v>
      </c>
    </row>
    <row r="118" spans="4:11" x14ac:dyDescent="0.3">
      <c r="D118" s="8">
        <v>112</v>
      </c>
      <c r="E118" s="25">
        <v>45944</v>
      </c>
      <c r="F118" s="26">
        <v>1384.1</v>
      </c>
      <c r="G118" s="27">
        <v>977</v>
      </c>
      <c r="H118" s="26">
        <v>2146</v>
      </c>
      <c r="I118" s="26">
        <v>1493.2</v>
      </c>
      <c r="J118" s="26">
        <v>1375</v>
      </c>
      <c r="K118" s="93">
        <v>23241.75</v>
      </c>
    </row>
    <row r="119" spans="4:11" x14ac:dyDescent="0.3">
      <c r="D119" s="8">
        <v>113</v>
      </c>
      <c r="E119" s="25">
        <v>45944</v>
      </c>
      <c r="F119" s="26">
        <v>1382.5</v>
      </c>
      <c r="G119" s="27">
        <v>977.15</v>
      </c>
      <c r="H119" s="26">
        <v>2126.9</v>
      </c>
      <c r="I119" s="26">
        <v>1489.9</v>
      </c>
      <c r="J119" s="26">
        <v>1375.9</v>
      </c>
      <c r="K119" s="93">
        <v>23109.35</v>
      </c>
    </row>
    <row r="120" spans="4:11" x14ac:dyDescent="0.3">
      <c r="D120" s="8">
        <v>114</v>
      </c>
      <c r="E120" s="25">
        <v>45943</v>
      </c>
      <c r="F120" s="26">
        <v>1379.4</v>
      </c>
      <c r="G120" s="27">
        <v>978.5</v>
      </c>
      <c r="H120" s="26">
        <v>2100.5</v>
      </c>
      <c r="I120" s="26">
        <v>1514.9</v>
      </c>
      <c r="J120" s="26">
        <v>1381.7</v>
      </c>
      <c r="K120" s="93">
        <v>23209.5</v>
      </c>
    </row>
    <row r="121" spans="4:11" x14ac:dyDescent="0.3">
      <c r="D121" s="8">
        <v>115</v>
      </c>
      <c r="E121" s="25">
        <v>45940</v>
      </c>
      <c r="F121" s="26">
        <v>1380.3</v>
      </c>
      <c r="G121" s="27">
        <v>980.9</v>
      </c>
      <c r="H121" s="26">
        <v>2063.3000000000002</v>
      </c>
      <c r="I121" s="26">
        <v>1509.3</v>
      </c>
      <c r="J121" s="26">
        <v>1377.8</v>
      </c>
      <c r="K121" s="93">
        <v>23169.65</v>
      </c>
    </row>
    <row r="122" spans="4:11" x14ac:dyDescent="0.3">
      <c r="D122" s="8">
        <v>116</v>
      </c>
      <c r="E122" s="25">
        <v>45939</v>
      </c>
      <c r="F122" s="26">
        <v>1376.2</v>
      </c>
      <c r="G122" s="27">
        <v>978.7</v>
      </c>
      <c r="H122" s="26">
        <v>1992.7</v>
      </c>
      <c r="I122" s="26">
        <v>1495</v>
      </c>
      <c r="J122" s="26">
        <v>1367.4</v>
      </c>
      <c r="K122" s="93">
        <v>23027.7</v>
      </c>
    </row>
    <row r="123" spans="4:11" x14ac:dyDescent="0.3">
      <c r="D123" s="8">
        <v>117</v>
      </c>
      <c r="E123" s="25">
        <v>45938</v>
      </c>
      <c r="F123" s="26">
        <v>1370.3</v>
      </c>
      <c r="G123" s="27">
        <v>977.1</v>
      </c>
      <c r="H123" s="26">
        <v>1991.6</v>
      </c>
      <c r="I123" s="26">
        <v>1458.5</v>
      </c>
      <c r="J123" s="26">
        <v>1384.8</v>
      </c>
      <c r="K123" s="93">
        <v>22928.3</v>
      </c>
    </row>
    <row r="124" spans="4:11" x14ac:dyDescent="0.3">
      <c r="D124" s="8">
        <v>118</v>
      </c>
      <c r="E124" s="25">
        <v>45937</v>
      </c>
      <c r="F124" s="26">
        <v>1375.9</v>
      </c>
      <c r="G124" s="27">
        <v>978.7</v>
      </c>
      <c r="H124" s="26">
        <v>1994.8</v>
      </c>
      <c r="I124" s="26">
        <v>1476</v>
      </c>
      <c r="J124" s="26">
        <v>1375</v>
      </c>
      <c r="K124" s="93">
        <v>22734.1</v>
      </c>
    </row>
    <row r="125" spans="4:11" x14ac:dyDescent="0.3">
      <c r="D125" s="8">
        <v>119</v>
      </c>
      <c r="E125" s="25">
        <v>45936</v>
      </c>
      <c r="F125" s="26">
        <v>1363.4</v>
      </c>
      <c r="G125" s="27">
        <v>982.5</v>
      </c>
      <c r="H125" s="26">
        <v>2013.5</v>
      </c>
      <c r="I125" s="26">
        <v>1446.6</v>
      </c>
      <c r="J125" s="26">
        <v>1363.4</v>
      </c>
      <c r="K125" s="93">
        <v>22739.1</v>
      </c>
    </row>
    <row r="126" spans="4:11" x14ac:dyDescent="0.3">
      <c r="D126" s="8">
        <v>120</v>
      </c>
      <c r="E126" s="25">
        <v>45933</v>
      </c>
      <c r="F126" s="26">
        <v>1365.2</v>
      </c>
      <c r="G126" s="27">
        <v>973.45</v>
      </c>
      <c r="H126" s="26">
        <v>2013.5</v>
      </c>
      <c r="I126" s="26">
        <v>1445.8</v>
      </c>
      <c r="J126" s="26">
        <v>1368.7</v>
      </c>
      <c r="K126" s="93">
        <v>22713.15</v>
      </c>
    </row>
    <row r="127" spans="4:11" x14ac:dyDescent="0.3">
      <c r="D127" s="8">
        <v>121</v>
      </c>
      <c r="E127" s="25">
        <v>45931</v>
      </c>
      <c r="F127" s="26">
        <v>1372</v>
      </c>
      <c r="G127" s="27">
        <v>965.15</v>
      </c>
      <c r="H127" s="26">
        <v>2031.3</v>
      </c>
      <c r="I127" s="26">
        <v>1441.8</v>
      </c>
      <c r="J127" s="26">
        <v>1364</v>
      </c>
      <c r="K127" s="93">
        <v>23022.400000000001</v>
      </c>
    </row>
    <row r="128" spans="4:11" x14ac:dyDescent="0.3">
      <c r="D128" s="8">
        <v>122</v>
      </c>
      <c r="E128" s="25">
        <v>45930</v>
      </c>
      <c r="F128" s="26">
        <v>1348</v>
      </c>
      <c r="G128" s="27">
        <v>965.25</v>
      </c>
      <c r="H128" s="26">
        <v>2047.7</v>
      </c>
      <c r="I128" s="26">
        <v>1441.8</v>
      </c>
      <c r="J128" s="26">
        <v>1372.8</v>
      </c>
      <c r="K128" s="93">
        <v>23178.25</v>
      </c>
    </row>
    <row r="129" spans="4:11" x14ac:dyDescent="0.3">
      <c r="D129" s="8">
        <v>123</v>
      </c>
      <c r="E129" s="25">
        <v>45929</v>
      </c>
      <c r="F129" s="26">
        <v>1348.1</v>
      </c>
      <c r="G129" s="27">
        <v>951</v>
      </c>
      <c r="H129" s="26">
        <v>2021.7</v>
      </c>
      <c r="I129" s="26">
        <v>1448.9</v>
      </c>
      <c r="J129" s="26">
        <v>1377.6</v>
      </c>
      <c r="K129" s="93">
        <v>23325.25</v>
      </c>
    </row>
    <row r="130" spans="4:11" x14ac:dyDescent="0.3">
      <c r="D130" s="8">
        <v>124</v>
      </c>
      <c r="E130" s="25">
        <v>45926</v>
      </c>
      <c r="F130" s="26">
        <v>1359.6</v>
      </c>
      <c r="G130" s="27">
        <v>950.3</v>
      </c>
      <c r="H130" s="26">
        <v>2031</v>
      </c>
      <c r="I130" s="26">
        <v>1484.8</v>
      </c>
      <c r="J130" s="26">
        <v>1372.4</v>
      </c>
      <c r="K130" s="93">
        <v>23381.45</v>
      </c>
    </row>
    <row r="131" spans="4:11" x14ac:dyDescent="0.3">
      <c r="D131" s="8">
        <v>125</v>
      </c>
      <c r="E131" s="25">
        <v>45925</v>
      </c>
      <c r="F131" s="26">
        <v>1375.8</v>
      </c>
      <c r="G131" s="27">
        <v>945.05</v>
      </c>
      <c r="H131" s="26">
        <v>2054.6</v>
      </c>
      <c r="I131" s="26">
        <v>1494.6</v>
      </c>
      <c r="J131" s="26">
        <v>1383</v>
      </c>
      <c r="K131" s="93">
        <v>23486.65</v>
      </c>
    </row>
    <row r="132" spans="4:11" x14ac:dyDescent="0.3">
      <c r="D132" s="8">
        <v>126</v>
      </c>
      <c r="E132" s="25">
        <v>45924</v>
      </c>
      <c r="F132" s="26">
        <v>1382.7</v>
      </c>
      <c r="G132" s="27">
        <v>949.85</v>
      </c>
      <c r="H132" s="26">
        <v>2050.3000000000002</v>
      </c>
      <c r="I132" s="26">
        <v>1497.5</v>
      </c>
      <c r="J132" s="26">
        <v>1389.8</v>
      </c>
      <c r="K132" s="93">
        <v>23518.9</v>
      </c>
    </row>
    <row r="133" spans="4:11" x14ac:dyDescent="0.3">
      <c r="D133" s="8">
        <v>127</v>
      </c>
      <c r="E133" s="25">
        <v>45923</v>
      </c>
      <c r="F133" s="26">
        <v>1394.3</v>
      </c>
      <c r="G133" s="27">
        <v>951.05</v>
      </c>
      <c r="H133" s="26">
        <v>2021.7</v>
      </c>
      <c r="I133" s="26">
        <v>1499.5</v>
      </c>
      <c r="J133" s="26">
        <v>1390.6</v>
      </c>
      <c r="K133" s="93">
        <v>23445.200000000001</v>
      </c>
    </row>
    <row r="134" spans="4:11" x14ac:dyDescent="0.3">
      <c r="D134" s="8">
        <v>128</v>
      </c>
      <c r="E134" s="25">
        <v>45922</v>
      </c>
      <c r="F134" s="26">
        <v>1401.5</v>
      </c>
      <c r="G134" s="27">
        <v>957.2</v>
      </c>
      <c r="H134" s="26">
        <v>1970.8</v>
      </c>
      <c r="I134" s="26">
        <v>1540.2</v>
      </c>
      <c r="J134" s="26">
        <v>1407.4</v>
      </c>
      <c r="K134" s="93">
        <v>23369.3</v>
      </c>
    </row>
    <row r="135" spans="4:11" x14ac:dyDescent="0.3">
      <c r="D135" s="8">
        <v>129</v>
      </c>
      <c r="E135" s="25">
        <v>45919</v>
      </c>
      <c r="F135" s="26">
        <v>1402.2</v>
      </c>
      <c r="G135" s="27">
        <v>964.2</v>
      </c>
      <c r="H135" s="26">
        <v>1972.3</v>
      </c>
      <c r="I135" s="26">
        <v>1540.6</v>
      </c>
      <c r="J135" s="26">
        <v>1415</v>
      </c>
      <c r="K135" s="93">
        <v>23215.85</v>
      </c>
    </row>
    <row r="136" spans="4:11" x14ac:dyDescent="0.3">
      <c r="D136" s="8">
        <v>130</v>
      </c>
      <c r="E136" s="25">
        <v>45918</v>
      </c>
      <c r="F136" s="26">
        <v>1421.7</v>
      </c>
      <c r="G136" s="27">
        <v>966.9</v>
      </c>
      <c r="H136" s="26">
        <v>1972.3</v>
      </c>
      <c r="I136" s="26">
        <v>1522.4</v>
      </c>
      <c r="J136" s="26">
        <v>1413.8</v>
      </c>
      <c r="K136" s="93">
        <v>23190.25</v>
      </c>
    </row>
    <row r="137" spans="4:11" x14ac:dyDescent="0.3">
      <c r="D137" s="8">
        <v>131</v>
      </c>
      <c r="E137" s="25">
        <v>45917</v>
      </c>
      <c r="F137" s="26">
        <v>1419.2</v>
      </c>
      <c r="G137" s="27">
        <v>976.9</v>
      </c>
      <c r="H137" s="26">
        <v>1972.3</v>
      </c>
      <c r="I137" s="26">
        <v>1505</v>
      </c>
      <c r="J137" s="26">
        <v>1405.3</v>
      </c>
      <c r="K137" s="93">
        <v>23102.65</v>
      </c>
    </row>
    <row r="138" spans="4:11" x14ac:dyDescent="0.3">
      <c r="D138" s="8">
        <v>132</v>
      </c>
      <c r="E138" s="25">
        <v>45916</v>
      </c>
      <c r="F138" s="26">
        <v>1421.6</v>
      </c>
      <c r="G138" s="27">
        <v>966.5</v>
      </c>
      <c r="H138" s="26">
        <v>1981</v>
      </c>
      <c r="I138" s="26">
        <v>1511.3</v>
      </c>
      <c r="J138" s="26">
        <v>1399.3</v>
      </c>
      <c r="K138" s="93">
        <v>23074.15</v>
      </c>
    </row>
    <row r="139" spans="4:11" x14ac:dyDescent="0.3">
      <c r="D139" s="8">
        <v>133</v>
      </c>
      <c r="E139" s="25">
        <v>45915</v>
      </c>
      <c r="F139" s="26">
        <v>1419.4</v>
      </c>
      <c r="G139" s="27">
        <v>966.85</v>
      </c>
      <c r="H139" s="26">
        <v>1973.3</v>
      </c>
      <c r="I139" s="26">
        <v>1508.4</v>
      </c>
      <c r="J139" s="26">
        <v>1383.3</v>
      </c>
      <c r="K139" s="93">
        <v>22949.1</v>
      </c>
    </row>
    <row r="140" spans="4:11" x14ac:dyDescent="0.3">
      <c r="D140" s="8">
        <v>134</v>
      </c>
      <c r="E140" s="25">
        <v>45912</v>
      </c>
      <c r="F140" s="26">
        <v>1417.7</v>
      </c>
      <c r="G140" s="27">
        <v>967.05</v>
      </c>
      <c r="H140" s="26">
        <v>1940.8</v>
      </c>
      <c r="I140" s="26">
        <v>1525.6</v>
      </c>
      <c r="J140" s="26">
        <v>1395</v>
      </c>
      <c r="K140" s="93">
        <v>22878.65</v>
      </c>
    </row>
    <row r="141" spans="4:11" x14ac:dyDescent="0.3">
      <c r="D141" s="8">
        <v>135</v>
      </c>
      <c r="E141" s="25">
        <v>45911</v>
      </c>
      <c r="F141" s="26">
        <v>1401.6</v>
      </c>
      <c r="G141" s="27">
        <v>967.3</v>
      </c>
      <c r="H141" s="26">
        <v>1960.4</v>
      </c>
      <c r="I141" s="26">
        <v>1525.6</v>
      </c>
      <c r="J141" s="26">
        <v>1383.3</v>
      </c>
      <c r="K141" s="93">
        <v>22829.15</v>
      </c>
    </row>
    <row r="142" spans="4:11" x14ac:dyDescent="0.3">
      <c r="D142" s="8">
        <v>136</v>
      </c>
      <c r="E142" s="25">
        <v>45910</v>
      </c>
      <c r="F142" s="26">
        <v>1403.9</v>
      </c>
      <c r="G142" s="27">
        <v>967.8</v>
      </c>
      <c r="H142" s="26">
        <v>1950.1</v>
      </c>
      <c r="I142" s="26">
        <v>1509.7</v>
      </c>
      <c r="J142" s="26">
        <v>1377</v>
      </c>
      <c r="K142" s="93">
        <v>22819.65</v>
      </c>
    </row>
    <row r="143" spans="4:11" x14ac:dyDescent="0.3">
      <c r="D143" s="8">
        <v>137</v>
      </c>
      <c r="E143" s="25">
        <v>45909</v>
      </c>
      <c r="F143" s="26">
        <v>1402.7</v>
      </c>
      <c r="G143" s="27">
        <v>965.15</v>
      </c>
      <c r="H143" s="26">
        <v>1960.2</v>
      </c>
      <c r="I143" s="26">
        <v>1504.3</v>
      </c>
      <c r="J143" s="26">
        <v>1375</v>
      </c>
      <c r="K143" s="93">
        <v>22864.65</v>
      </c>
    </row>
    <row r="144" spans="4:11" x14ac:dyDescent="0.3">
      <c r="D144" s="8">
        <v>138</v>
      </c>
      <c r="E144" s="25">
        <v>45909</v>
      </c>
      <c r="F144" s="26">
        <v>1403.7</v>
      </c>
      <c r="G144" s="27">
        <v>965.9</v>
      </c>
      <c r="H144" s="26">
        <v>1945.5</v>
      </c>
      <c r="I144" s="26">
        <v>1532.6</v>
      </c>
      <c r="J144" s="26">
        <v>1376.2</v>
      </c>
      <c r="K144" s="93">
        <v>22724.400000000001</v>
      </c>
    </row>
    <row r="145" spans="4:11" x14ac:dyDescent="0.3">
      <c r="D145" s="8">
        <v>139</v>
      </c>
      <c r="E145" s="25">
        <v>45908</v>
      </c>
      <c r="F145" s="26">
        <v>1402.7</v>
      </c>
      <c r="G145" s="27">
        <v>966</v>
      </c>
      <c r="H145" s="26">
        <v>1949.7</v>
      </c>
      <c r="I145" s="26">
        <v>1432.9</v>
      </c>
      <c r="J145" s="26">
        <v>1378.5</v>
      </c>
      <c r="K145" s="93">
        <v>22713.55</v>
      </c>
    </row>
    <row r="146" spans="4:11" x14ac:dyDescent="0.3">
      <c r="D146" s="8">
        <v>140</v>
      </c>
      <c r="E146" s="25">
        <v>45905</v>
      </c>
      <c r="F146" s="26">
        <v>1402.8</v>
      </c>
      <c r="G146" s="27">
        <v>963.4</v>
      </c>
      <c r="H146" s="26">
        <v>1942.5</v>
      </c>
      <c r="I146" s="26">
        <v>1432.9</v>
      </c>
      <c r="J146" s="26">
        <v>1375</v>
      </c>
      <c r="K146" s="93">
        <v>22462.95</v>
      </c>
    </row>
    <row r="147" spans="4:11" x14ac:dyDescent="0.3">
      <c r="D147" s="8">
        <v>141</v>
      </c>
      <c r="E147" s="25">
        <v>45904</v>
      </c>
      <c r="F147" s="26">
        <v>1405.5</v>
      </c>
      <c r="G147" s="27">
        <v>961.25</v>
      </c>
      <c r="H147" s="26">
        <v>1960.2</v>
      </c>
      <c r="I147" s="26">
        <v>1444.6</v>
      </c>
      <c r="J147" s="26">
        <v>1359.3</v>
      </c>
      <c r="K147" s="93">
        <v>22541.65</v>
      </c>
    </row>
    <row r="148" spans="4:11" x14ac:dyDescent="0.3">
      <c r="D148" s="8">
        <v>142</v>
      </c>
      <c r="E148" s="25">
        <v>45903</v>
      </c>
      <c r="F148" s="26">
        <v>1397</v>
      </c>
      <c r="G148" s="27">
        <v>954.45</v>
      </c>
      <c r="H148" s="26">
        <v>1942.5</v>
      </c>
      <c r="I148" s="26">
        <v>1463</v>
      </c>
      <c r="J148" s="26">
        <v>1372.6</v>
      </c>
      <c r="K148" s="93">
        <v>22768.65</v>
      </c>
    </row>
    <row r="149" spans="4:11" x14ac:dyDescent="0.3">
      <c r="D149" s="8">
        <v>143</v>
      </c>
      <c r="E149" s="25">
        <v>45902</v>
      </c>
      <c r="F149" s="26">
        <v>1394.2</v>
      </c>
      <c r="G149" s="27">
        <v>944.5</v>
      </c>
      <c r="H149" s="26">
        <v>1960.3</v>
      </c>
      <c r="I149" s="26">
        <v>1479.1</v>
      </c>
      <c r="J149" s="26">
        <v>1366.5</v>
      </c>
      <c r="K149" s="93">
        <v>23052</v>
      </c>
    </row>
    <row r="150" spans="4:11" x14ac:dyDescent="0.3">
      <c r="D150" s="8">
        <v>144</v>
      </c>
      <c r="E150" s="25">
        <v>45901</v>
      </c>
      <c r="F150" s="26">
        <v>1411</v>
      </c>
      <c r="G150" s="27">
        <v>950.6</v>
      </c>
      <c r="H150" s="26">
        <v>1968.6</v>
      </c>
      <c r="I150" s="26">
        <v>1498.7</v>
      </c>
      <c r="J150" s="26">
        <v>1353.9</v>
      </c>
      <c r="K150" s="93">
        <v>22991.3</v>
      </c>
    </row>
    <row r="151" spans="4:11" x14ac:dyDescent="0.3">
      <c r="D151" s="8">
        <v>145</v>
      </c>
      <c r="E151" s="25">
        <v>45898</v>
      </c>
      <c r="F151" s="26">
        <v>1397.8</v>
      </c>
      <c r="G151" s="27">
        <v>951.6</v>
      </c>
      <c r="H151" s="26">
        <v>1960.3</v>
      </c>
      <c r="I151" s="26">
        <v>1499.4</v>
      </c>
      <c r="J151" s="26">
        <v>1357.2</v>
      </c>
      <c r="K151" s="93">
        <v>23137.15</v>
      </c>
    </row>
    <row r="152" spans="4:11" x14ac:dyDescent="0.3">
      <c r="D152" s="8">
        <v>146</v>
      </c>
      <c r="E152" s="25">
        <v>45897</v>
      </c>
      <c r="F152" s="26">
        <v>1399.1</v>
      </c>
      <c r="G152" s="27">
        <v>957.8</v>
      </c>
      <c r="H152" s="26">
        <v>1944.7</v>
      </c>
      <c r="I152" s="26">
        <v>1469.6</v>
      </c>
      <c r="J152" s="26">
        <v>1385.9</v>
      </c>
      <c r="K152" s="93">
        <v>23143.15</v>
      </c>
    </row>
    <row r="153" spans="4:11" x14ac:dyDescent="0.3">
      <c r="D153" s="8">
        <v>147</v>
      </c>
      <c r="E153" s="25">
        <v>45895</v>
      </c>
      <c r="F153" s="26">
        <v>1416.6</v>
      </c>
      <c r="G153" s="27">
        <v>973.4</v>
      </c>
      <c r="H153" s="26">
        <v>1944.7</v>
      </c>
      <c r="I153" s="26">
        <v>1500.1</v>
      </c>
      <c r="J153" s="26">
        <v>1384.9</v>
      </c>
      <c r="K153" s="93">
        <v>23066.6</v>
      </c>
    </row>
    <row r="154" spans="4:11" x14ac:dyDescent="0.3">
      <c r="D154" s="8">
        <v>148</v>
      </c>
      <c r="E154" s="25">
        <v>45894</v>
      </c>
      <c r="F154" s="26">
        <v>1433.2</v>
      </c>
      <c r="G154" s="26">
        <v>1964.1</v>
      </c>
      <c r="H154" s="26">
        <v>1965.7</v>
      </c>
      <c r="I154" s="26">
        <v>1529.6</v>
      </c>
      <c r="J154" s="26">
        <v>1412.6</v>
      </c>
      <c r="K154" s="93">
        <v>22931.5</v>
      </c>
    </row>
    <row r="155" spans="4:11" x14ac:dyDescent="0.3">
      <c r="D155" s="8">
        <v>149</v>
      </c>
      <c r="E155" s="25">
        <v>45891</v>
      </c>
      <c r="F155" s="26">
        <v>1436.4</v>
      </c>
      <c r="G155" s="26">
        <v>1964.6</v>
      </c>
      <c r="H155" s="26">
        <v>1983.3</v>
      </c>
      <c r="I155" s="26">
        <v>1532.1</v>
      </c>
      <c r="J155" s="26">
        <v>1409.2</v>
      </c>
      <c r="K155" s="93">
        <v>22680.25</v>
      </c>
    </row>
    <row r="156" spans="4:11" x14ac:dyDescent="0.3">
      <c r="D156" s="8">
        <v>150</v>
      </c>
      <c r="E156" s="25">
        <v>45890</v>
      </c>
      <c r="F156" s="26">
        <v>1446</v>
      </c>
      <c r="G156" s="26">
        <v>1991.2</v>
      </c>
      <c r="H156" s="26">
        <v>1986.6</v>
      </c>
      <c r="I156" s="26">
        <v>1487.5</v>
      </c>
      <c r="J156" s="26">
        <v>1424.8</v>
      </c>
      <c r="K156" s="93">
        <v>22698.1</v>
      </c>
    </row>
    <row r="157" spans="4:11" x14ac:dyDescent="0.3">
      <c r="D157" s="8">
        <v>151</v>
      </c>
      <c r="E157" s="25">
        <v>45889</v>
      </c>
      <c r="F157" s="26">
        <v>1430.6</v>
      </c>
      <c r="G157" s="26">
        <v>1988.2</v>
      </c>
      <c r="H157" s="26">
        <v>2017.8</v>
      </c>
      <c r="I157" s="26">
        <v>1496.4</v>
      </c>
      <c r="J157" s="26">
        <v>1413</v>
      </c>
      <c r="K157" s="93">
        <v>22568.6</v>
      </c>
    </row>
    <row r="158" spans="4:11" x14ac:dyDescent="0.3">
      <c r="D158" s="8">
        <v>152</v>
      </c>
      <c r="E158" s="25">
        <v>45888</v>
      </c>
      <c r="F158" s="26">
        <v>1436.3</v>
      </c>
      <c r="G158" s="26">
        <v>1991.1</v>
      </c>
      <c r="H158" s="26">
        <v>2017.5</v>
      </c>
      <c r="I158" s="26">
        <v>1496.2</v>
      </c>
      <c r="J158" s="26">
        <v>1420.1</v>
      </c>
      <c r="K158" s="93">
        <v>22633.45</v>
      </c>
    </row>
    <row r="159" spans="4:11" x14ac:dyDescent="0.3">
      <c r="D159" s="8">
        <v>153</v>
      </c>
      <c r="E159" s="25">
        <v>45887</v>
      </c>
      <c r="F159" s="26">
        <v>1434.6</v>
      </c>
      <c r="G159" s="26">
        <v>2003.6</v>
      </c>
      <c r="H159" s="26">
        <v>2029.9</v>
      </c>
      <c r="I159" s="26">
        <v>1440</v>
      </c>
      <c r="J159" s="26">
        <v>1381.7</v>
      </c>
      <c r="K159" s="93">
        <v>22443.15</v>
      </c>
    </row>
    <row r="160" spans="4:11" x14ac:dyDescent="0.3">
      <c r="D160" s="8">
        <v>154</v>
      </c>
      <c r="E160" s="25">
        <v>45883</v>
      </c>
      <c r="F160" s="26">
        <v>1427.3</v>
      </c>
      <c r="G160" s="26">
        <v>1991.1</v>
      </c>
      <c r="H160" s="26">
        <v>2001.4</v>
      </c>
      <c r="I160" s="26">
        <v>1435.8</v>
      </c>
      <c r="J160" s="26">
        <v>1373.8</v>
      </c>
      <c r="K160" s="93">
        <v>22694.1</v>
      </c>
    </row>
    <row r="161" spans="4:11" x14ac:dyDescent="0.3">
      <c r="D161" s="8">
        <v>155</v>
      </c>
      <c r="E161" s="25">
        <v>45882</v>
      </c>
      <c r="F161" s="26">
        <v>1420.8</v>
      </c>
      <c r="G161" s="26">
        <v>1980.3</v>
      </c>
      <c r="H161" s="26">
        <v>1978.2</v>
      </c>
      <c r="I161" s="26">
        <v>1447.7</v>
      </c>
      <c r="J161" s="26">
        <v>1382.6</v>
      </c>
      <c r="K161" s="93">
        <v>22666.85</v>
      </c>
    </row>
    <row r="162" spans="4:11" x14ac:dyDescent="0.3">
      <c r="D162" s="8">
        <v>156</v>
      </c>
      <c r="E162" s="25">
        <v>45881</v>
      </c>
      <c r="F162" s="26">
        <v>1422</v>
      </c>
      <c r="G162" s="26">
        <v>1969.9</v>
      </c>
      <c r="H162" s="26">
        <v>1987.7</v>
      </c>
      <c r="I162" s="26">
        <v>1426.6</v>
      </c>
      <c r="J162" s="26">
        <v>1380.4</v>
      </c>
      <c r="K162" s="93">
        <v>22798.5</v>
      </c>
    </row>
    <row r="163" spans="4:11" x14ac:dyDescent="0.3">
      <c r="D163" s="8">
        <v>157</v>
      </c>
      <c r="E163" s="25">
        <v>45880</v>
      </c>
      <c r="F163" s="26">
        <v>1436.6</v>
      </c>
      <c r="G163" s="26">
        <v>1995.6</v>
      </c>
      <c r="H163" s="26">
        <v>1959</v>
      </c>
      <c r="I163" s="26">
        <v>1424.1</v>
      </c>
      <c r="J163" s="26">
        <v>1386.2</v>
      </c>
      <c r="K163" s="93">
        <v>22860.400000000001</v>
      </c>
    </row>
    <row r="164" spans="4:11" x14ac:dyDescent="0.3">
      <c r="D164" s="8">
        <v>158</v>
      </c>
      <c r="E164" s="25">
        <v>45877</v>
      </c>
      <c r="F164" s="26">
        <v>1435.9</v>
      </c>
      <c r="G164" s="26">
        <v>1973.9</v>
      </c>
      <c r="H164" s="26">
        <v>1975.9</v>
      </c>
      <c r="I164" s="26">
        <v>1428.2</v>
      </c>
      <c r="J164" s="26">
        <v>1367.8</v>
      </c>
      <c r="K164" s="93">
        <v>22673.65</v>
      </c>
    </row>
    <row r="165" spans="4:11" x14ac:dyDescent="0.3">
      <c r="D165" s="8">
        <v>159</v>
      </c>
      <c r="E165" s="25">
        <v>45876</v>
      </c>
      <c r="F165" s="26">
        <v>1440.3</v>
      </c>
      <c r="G165" s="26">
        <v>1995.4</v>
      </c>
      <c r="H165" s="26">
        <v>1952.7</v>
      </c>
      <c r="I165" s="26">
        <v>1423.1</v>
      </c>
      <c r="J165" s="26">
        <v>1389.4</v>
      </c>
      <c r="K165" s="93">
        <v>22914.95</v>
      </c>
    </row>
    <row r="166" spans="4:11" x14ac:dyDescent="0.3">
      <c r="D166" s="8">
        <v>160</v>
      </c>
      <c r="E166" s="25">
        <v>45875</v>
      </c>
      <c r="F166" s="26">
        <v>1443.6</v>
      </c>
      <c r="G166" s="26">
        <v>1985.3</v>
      </c>
      <c r="H166" s="26">
        <v>1992.1</v>
      </c>
      <c r="I166" s="26">
        <v>1436.9</v>
      </c>
      <c r="J166" s="26">
        <v>1392.8</v>
      </c>
      <c r="K166" s="93">
        <v>23033.55</v>
      </c>
    </row>
    <row r="167" spans="4:11" x14ac:dyDescent="0.3">
      <c r="D167" s="8">
        <v>161</v>
      </c>
      <c r="E167" s="25">
        <v>45874</v>
      </c>
      <c r="F167" s="26">
        <v>1444.4</v>
      </c>
      <c r="G167" s="26">
        <v>1977.6</v>
      </c>
      <c r="H167" s="26">
        <v>2002.4</v>
      </c>
      <c r="I167" s="26">
        <v>1436.7</v>
      </c>
      <c r="J167" s="26">
        <v>1391.7</v>
      </c>
      <c r="K167" s="93">
        <v>23007.35</v>
      </c>
    </row>
    <row r="168" spans="4:11" x14ac:dyDescent="0.3">
      <c r="D168" s="8">
        <v>162</v>
      </c>
      <c r="E168" s="25">
        <v>45873</v>
      </c>
      <c r="F168" s="26">
        <v>1463.2</v>
      </c>
      <c r="G168" s="26">
        <v>1992</v>
      </c>
      <c r="H168" s="26">
        <v>2003</v>
      </c>
      <c r="I168" s="26">
        <v>1460.3</v>
      </c>
      <c r="J168" s="26">
        <v>1411.5</v>
      </c>
      <c r="K168" s="93">
        <v>22846.95</v>
      </c>
    </row>
    <row r="169" spans="4:11" x14ac:dyDescent="0.3">
      <c r="D169" s="8">
        <v>163</v>
      </c>
      <c r="E169" s="25">
        <v>45870</v>
      </c>
      <c r="F169" s="26">
        <v>1471.6</v>
      </c>
      <c r="G169" s="26">
        <v>2012.2</v>
      </c>
      <c r="H169" s="26">
        <v>1997</v>
      </c>
      <c r="I169" s="26">
        <v>1480.5</v>
      </c>
      <c r="J169" s="26">
        <v>1393.7</v>
      </c>
      <c r="K169" s="93">
        <v>23014.799999999999</v>
      </c>
    </row>
    <row r="170" spans="4:11" x14ac:dyDescent="0.3">
      <c r="D170" s="8">
        <v>164</v>
      </c>
      <c r="E170" s="25">
        <v>45869</v>
      </c>
      <c r="F170" s="26">
        <v>1481.4</v>
      </c>
      <c r="G170" s="26">
        <v>2018.2</v>
      </c>
      <c r="H170" s="26">
        <v>1992.4</v>
      </c>
      <c r="I170" s="26">
        <v>1469.6</v>
      </c>
      <c r="J170" s="26">
        <v>1390.2</v>
      </c>
      <c r="K170" s="93">
        <v>23301.1</v>
      </c>
    </row>
    <row r="171" spans="4:11" x14ac:dyDescent="0.3">
      <c r="D171" s="8">
        <v>165</v>
      </c>
      <c r="E171" s="25">
        <v>45868</v>
      </c>
      <c r="F171" s="26">
        <v>1482.4</v>
      </c>
      <c r="G171" s="26">
        <v>2025.8</v>
      </c>
      <c r="H171" s="26">
        <v>1978.6</v>
      </c>
      <c r="I171" s="26">
        <v>1509</v>
      </c>
      <c r="J171" s="26">
        <v>1410.1</v>
      </c>
      <c r="K171" s="93">
        <v>23428.400000000001</v>
      </c>
    </row>
    <row r="172" spans="4:11" x14ac:dyDescent="0.3">
      <c r="D172" s="8">
        <v>166</v>
      </c>
      <c r="E172" s="25">
        <v>45867</v>
      </c>
      <c r="F172" s="26">
        <v>1486.2</v>
      </c>
      <c r="G172" s="26">
        <v>2021.6</v>
      </c>
      <c r="H172" s="26">
        <v>1959.7</v>
      </c>
      <c r="I172" s="26">
        <v>1519</v>
      </c>
      <c r="J172" s="26">
        <v>1417.1</v>
      </c>
      <c r="K172" s="93">
        <v>23320.9</v>
      </c>
    </row>
    <row r="173" spans="4:11" x14ac:dyDescent="0.3">
      <c r="D173" s="8">
        <v>167</v>
      </c>
      <c r="E173" s="25">
        <v>45866</v>
      </c>
      <c r="F173" s="26">
        <v>1488.4</v>
      </c>
      <c r="G173" s="26">
        <v>2008.5</v>
      </c>
      <c r="H173" s="26">
        <v>1972.7</v>
      </c>
      <c r="I173" s="26">
        <v>1513.7</v>
      </c>
      <c r="J173" s="26">
        <v>1387.6</v>
      </c>
      <c r="K173" s="93">
        <v>23378.45</v>
      </c>
    </row>
    <row r="174" spans="4:11" x14ac:dyDescent="0.3">
      <c r="D174" s="8">
        <v>168</v>
      </c>
      <c r="E174" s="25">
        <v>45863</v>
      </c>
      <c r="F174" s="26">
        <v>1477.1</v>
      </c>
      <c r="G174" s="26">
        <v>2004.6</v>
      </c>
      <c r="H174" s="26">
        <v>1966.6</v>
      </c>
      <c r="I174" s="26">
        <v>1516</v>
      </c>
      <c r="J174" s="26">
        <v>1391.7</v>
      </c>
      <c r="K174" s="93">
        <v>23275.15</v>
      </c>
    </row>
    <row r="175" spans="4:11" x14ac:dyDescent="0.3">
      <c r="D175" s="8">
        <v>169</v>
      </c>
      <c r="E175" s="25">
        <v>45862</v>
      </c>
      <c r="F175" s="26">
        <v>1483.4</v>
      </c>
      <c r="G175" s="26">
        <v>2014.2</v>
      </c>
      <c r="H175" s="26">
        <v>2124.6</v>
      </c>
      <c r="I175" s="26">
        <v>1515.7</v>
      </c>
      <c r="J175" s="26">
        <v>1391.7</v>
      </c>
      <c r="K175" s="93">
        <v>23419.7</v>
      </c>
    </row>
    <row r="176" spans="4:11" x14ac:dyDescent="0.3">
      <c r="D176" s="8">
        <v>170</v>
      </c>
      <c r="E176" s="25">
        <v>45861</v>
      </c>
      <c r="F176" s="26">
        <v>1488.6</v>
      </c>
      <c r="G176" s="26">
        <v>2024.3</v>
      </c>
      <c r="H176" s="26">
        <v>2142.1</v>
      </c>
      <c r="I176" s="26">
        <v>1552.5</v>
      </c>
      <c r="J176" s="26">
        <v>1402.9</v>
      </c>
      <c r="K176" s="93">
        <v>23472.5</v>
      </c>
    </row>
    <row r="177" spans="4:11" x14ac:dyDescent="0.3">
      <c r="D177" s="8">
        <v>171</v>
      </c>
      <c r="E177" s="25">
        <v>45860</v>
      </c>
      <c r="F177" s="26">
        <v>1473.6</v>
      </c>
      <c r="G177" s="26">
        <v>2007.1</v>
      </c>
      <c r="H177" s="26">
        <v>2170.4</v>
      </c>
      <c r="I177" s="26">
        <v>1574.5</v>
      </c>
      <c r="J177" s="26">
        <v>1424.6</v>
      </c>
      <c r="K177" s="93">
        <v>23449.15</v>
      </c>
    </row>
    <row r="178" spans="4:11" x14ac:dyDescent="0.3">
      <c r="D178" s="8">
        <v>172</v>
      </c>
      <c r="E178" s="25">
        <v>45859</v>
      </c>
      <c r="F178" s="26">
        <v>1465.8</v>
      </c>
      <c r="G178" s="26">
        <v>2000.5</v>
      </c>
      <c r="H178" s="26">
        <v>2160.1999999999998</v>
      </c>
      <c r="I178" s="26">
        <v>1570.9</v>
      </c>
      <c r="J178" s="26">
        <v>1412.8</v>
      </c>
      <c r="K178" s="93">
        <v>23309.05</v>
      </c>
    </row>
    <row r="179" spans="4:11" x14ac:dyDescent="0.3">
      <c r="D179" s="8">
        <v>173</v>
      </c>
      <c r="E179" s="25">
        <v>45856</v>
      </c>
      <c r="F179" s="26">
        <v>1425.8</v>
      </c>
      <c r="G179" s="26">
        <v>1957.4</v>
      </c>
      <c r="H179" s="26">
        <v>2165.1999999999998</v>
      </c>
      <c r="I179" s="26">
        <v>1584.3</v>
      </c>
      <c r="J179" s="26">
        <v>1428.6</v>
      </c>
      <c r="K179" s="93">
        <v>23282.7</v>
      </c>
    </row>
    <row r="180" spans="4:11" x14ac:dyDescent="0.3">
      <c r="D180" s="8">
        <v>174</v>
      </c>
      <c r="E180" s="25">
        <v>45855</v>
      </c>
      <c r="F180" s="26">
        <v>1418.7</v>
      </c>
      <c r="G180" s="26">
        <v>1986.9</v>
      </c>
      <c r="H180" s="26">
        <v>2140.5</v>
      </c>
      <c r="I180" s="26">
        <v>1586.1</v>
      </c>
      <c r="J180" s="26">
        <v>1476</v>
      </c>
      <c r="K180" s="93">
        <v>23471.4</v>
      </c>
    </row>
    <row r="181" spans="4:11" x14ac:dyDescent="0.3">
      <c r="D181" s="8">
        <v>175</v>
      </c>
      <c r="E181" s="25">
        <v>45854</v>
      </c>
      <c r="F181" s="26">
        <v>1426.4</v>
      </c>
      <c r="G181" s="26">
        <v>1996.3</v>
      </c>
      <c r="H181" s="26">
        <v>2170.8000000000002</v>
      </c>
      <c r="I181" s="26">
        <v>1583.5</v>
      </c>
      <c r="J181" s="26">
        <v>1476.4</v>
      </c>
      <c r="K181" s="93">
        <v>23557.45</v>
      </c>
    </row>
    <row r="182" spans="4:11" x14ac:dyDescent="0.3">
      <c r="D182" s="8">
        <v>176</v>
      </c>
      <c r="E182" s="25">
        <v>45853</v>
      </c>
      <c r="F182" s="26">
        <v>1430.8</v>
      </c>
      <c r="G182" s="26">
        <v>1995.5</v>
      </c>
      <c r="H182" s="26">
        <v>2179.4</v>
      </c>
      <c r="I182" s="26">
        <v>1607.9</v>
      </c>
      <c r="J182" s="26">
        <v>1485.6</v>
      </c>
      <c r="K182" s="93">
        <v>23572.55</v>
      </c>
    </row>
    <row r="183" spans="4:11" x14ac:dyDescent="0.3">
      <c r="D183" s="8">
        <v>177</v>
      </c>
      <c r="E183" s="25">
        <v>45852</v>
      </c>
      <c r="F183" s="26">
        <v>1423</v>
      </c>
      <c r="G183" s="26">
        <v>1983</v>
      </c>
      <c r="H183" s="26">
        <v>2188.1</v>
      </c>
      <c r="I183" s="26">
        <v>1585.6</v>
      </c>
      <c r="J183" s="26">
        <v>1485.4</v>
      </c>
      <c r="K183" s="93">
        <v>23551.200000000001</v>
      </c>
    </row>
    <row r="184" spans="4:11" x14ac:dyDescent="0.3">
      <c r="D184" s="8">
        <v>178</v>
      </c>
      <c r="E184" s="25">
        <v>45849</v>
      </c>
      <c r="F184" s="26">
        <v>1421.9</v>
      </c>
      <c r="G184" s="26">
        <v>1983</v>
      </c>
      <c r="H184" s="26">
        <v>2203.8000000000002</v>
      </c>
      <c r="I184" s="26">
        <v>1570.3</v>
      </c>
      <c r="J184" s="26">
        <v>1483.7</v>
      </c>
      <c r="K184" s="93">
        <v>23562.45</v>
      </c>
    </row>
    <row r="185" spans="4:11" x14ac:dyDescent="0.3">
      <c r="D185" s="8">
        <v>179</v>
      </c>
      <c r="E185" s="25">
        <v>45848</v>
      </c>
      <c r="F185" s="26">
        <v>1424.1</v>
      </c>
      <c r="G185" s="26">
        <v>1983.7</v>
      </c>
      <c r="H185" s="26">
        <v>2220.6</v>
      </c>
      <c r="I185" s="26">
        <v>1594.9</v>
      </c>
      <c r="J185" s="26">
        <v>1495.2</v>
      </c>
      <c r="K185" s="93">
        <v>23521.85</v>
      </c>
    </row>
    <row r="186" spans="4:11" x14ac:dyDescent="0.3">
      <c r="D186" s="8">
        <v>180</v>
      </c>
      <c r="E186" s="25">
        <v>45847</v>
      </c>
      <c r="F186" s="26">
        <v>1431.9</v>
      </c>
      <c r="G186" s="26">
        <v>2006.2</v>
      </c>
      <c r="H186" s="26">
        <v>2203.8000000000002</v>
      </c>
      <c r="I186" s="26">
        <v>1615.8</v>
      </c>
      <c r="J186" s="26">
        <v>1517.2</v>
      </c>
      <c r="K186" s="93">
        <v>23547.25</v>
      </c>
    </row>
    <row r="187" spans="4:11" x14ac:dyDescent="0.3">
      <c r="D187" s="8">
        <v>181</v>
      </c>
      <c r="E187" s="25">
        <v>45846</v>
      </c>
      <c r="F187" s="26">
        <v>1442</v>
      </c>
      <c r="G187" s="26">
        <v>2011.2</v>
      </c>
      <c r="H187" s="26">
        <v>2229.3000000000002</v>
      </c>
      <c r="I187" s="26">
        <v>1633.7</v>
      </c>
      <c r="J187" s="26">
        <v>1519</v>
      </c>
      <c r="K187" s="93">
        <v>23615.45</v>
      </c>
    </row>
    <row r="188" spans="4:11" x14ac:dyDescent="0.3">
      <c r="D188" s="8">
        <v>182</v>
      </c>
      <c r="E188" s="25">
        <v>45845</v>
      </c>
      <c r="F188" s="26">
        <v>1435.7</v>
      </c>
      <c r="G188" s="26">
        <v>2001.4</v>
      </c>
      <c r="H188" s="26">
        <v>2224.5</v>
      </c>
      <c r="I188" s="26">
        <v>1638.7</v>
      </c>
      <c r="J188" s="26">
        <v>1537.6</v>
      </c>
      <c r="K188" s="93">
        <v>23617.200000000001</v>
      </c>
    </row>
    <row r="189" spans="4:11" x14ac:dyDescent="0.3">
      <c r="D189" s="8">
        <v>183</v>
      </c>
      <c r="E189" s="25">
        <v>45842</v>
      </c>
      <c r="F189" s="26">
        <v>1442.8</v>
      </c>
      <c r="G189" s="26">
        <v>1987.4</v>
      </c>
      <c r="H189" s="26">
        <v>2149.8000000000002</v>
      </c>
      <c r="I189" s="26">
        <v>1627</v>
      </c>
      <c r="J189" s="26">
        <v>1541.5</v>
      </c>
      <c r="K189" s="93">
        <v>23620.15</v>
      </c>
    </row>
    <row r="190" spans="4:11" x14ac:dyDescent="0.3">
      <c r="D190" s="8">
        <v>184</v>
      </c>
      <c r="E190" s="25">
        <v>45841</v>
      </c>
      <c r="F190" s="26">
        <v>1425.9</v>
      </c>
      <c r="G190" s="26">
        <v>1989.3</v>
      </c>
      <c r="H190" s="26">
        <v>2129.8000000000002</v>
      </c>
      <c r="I190" s="26">
        <v>1640.7</v>
      </c>
      <c r="J190" s="26">
        <v>1527.3</v>
      </c>
      <c r="K190" s="93">
        <v>23517.55</v>
      </c>
    </row>
    <row r="191" spans="4:11" x14ac:dyDescent="0.3">
      <c r="D191" s="8">
        <v>185</v>
      </c>
      <c r="E191" s="25">
        <v>45840</v>
      </c>
      <c r="F191" s="26">
        <v>1427.8</v>
      </c>
      <c r="G191" s="26">
        <v>1987.1</v>
      </c>
      <c r="H191" s="26">
        <v>2126.6</v>
      </c>
      <c r="I191" s="26">
        <v>1618.7</v>
      </c>
      <c r="J191" s="26">
        <v>1517.8</v>
      </c>
      <c r="K191" s="93">
        <v>23296.85</v>
      </c>
    </row>
    <row r="192" spans="4:11" x14ac:dyDescent="0.3">
      <c r="D192" s="8">
        <v>186</v>
      </c>
      <c r="E192" s="25">
        <v>45839</v>
      </c>
      <c r="F192" s="26">
        <v>1432</v>
      </c>
      <c r="G192" s="26">
        <v>1986</v>
      </c>
      <c r="H192" s="26">
        <v>2169.1</v>
      </c>
      <c r="I192" s="26">
        <v>1610.5</v>
      </c>
      <c r="J192" s="26">
        <v>1518.8</v>
      </c>
      <c r="K192" s="93">
        <v>23113.200000000001</v>
      </c>
    </row>
    <row r="193" spans="4:11" x14ac:dyDescent="0.3">
      <c r="D193" s="8">
        <v>187</v>
      </c>
      <c r="E193" s="25">
        <v>45838</v>
      </c>
      <c r="F193" s="26">
        <v>1445.8</v>
      </c>
      <c r="G193" s="26">
        <v>2012.1</v>
      </c>
      <c r="H193" s="26">
        <v>2183.6</v>
      </c>
      <c r="I193" s="26">
        <v>1606.8</v>
      </c>
      <c r="J193" s="26">
        <v>1528.4</v>
      </c>
      <c r="K193" s="93">
        <v>23001.5</v>
      </c>
    </row>
    <row r="194" spans="4:11" x14ac:dyDescent="0.3">
      <c r="D194" s="8">
        <v>188</v>
      </c>
      <c r="E194" s="25">
        <v>45835</v>
      </c>
      <c r="F194" s="26">
        <v>1462.2</v>
      </c>
      <c r="G194" s="26">
        <v>2001.5</v>
      </c>
      <c r="H194" s="26">
        <v>2163.5</v>
      </c>
      <c r="I194" s="26">
        <v>1601.8</v>
      </c>
      <c r="J194" s="26">
        <v>1500.6</v>
      </c>
      <c r="K194" s="93">
        <v>23041.1</v>
      </c>
    </row>
    <row r="195" spans="4:11" x14ac:dyDescent="0.3">
      <c r="D195" s="8">
        <v>189</v>
      </c>
      <c r="E195" s="25">
        <v>45834</v>
      </c>
      <c r="F195" s="26">
        <v>1439.1</v>
      </c>
      <c r="G195" s="26">
        <v>2014.9</v>
      </c>
      <c r="H195" s="26">
        <v>2207.9</v>
      </c>
      <c r="I195" s="26">
        <v>1608</v>
      </c>
      <c r="J195" s="26">
        <v>1515.4</v>
      </c>
      <c r="K195" s="93">
        <v>22763.5</v>
      </c>
    </row>
    <row r="196" spans="4:11" x14ac:dyDescent="0.3">
      <c r="D196" s="8">
        <v>190</v>
      </c>
      <c r="E196" s="25">
        <v>45833</v>
      </c>
      <c r="F196" s="26">
        <v>1425.8</v>
      </c>
      <c r="G196" s="26">
        <v>2021.8</v>
      </c>
      <c r="H196" s="26">
        <v>2203.9</v>
      </c>
      <c r="I196" s="26">
        <v>1616</v>
      </c>
      <c r="J196" s="26">
        <v>1495.3</v>
      </c>
      <c r="K196" s="93">
        <v>22925.200000000001</v>
      </c>
    </row>
    <row r="197" spans="4:11" x14ac:dyDescent="0.3">
      <c r="D197" s="8">
        <v>191</v>
      </c>
      <c r="E197" s="25">
        <v>45832</v>
      </c>
      <c r="F197" s="26">
        <v>1424.1</v>
      </c>
      <c r="G197" s="26">
        <v>1980.2</v>
      </c>
      <c r="H197" s="26">
        <v>2198.3000000000002</v>
      </c>
      <c r="I197" s="26">
        <v>1614.9</v>
      </c>
      <c r="J197" s="26">
        <v>1467.3</v>
      </c>
      <c r="K197" s="93">
        <v>22981.5</v>
      </c>
    </row>
    <row r="198" spans="4:11" x14ac:dyDescent="0.3">
      <c r="D198" s="8">
        <v>192</v>
      </c>
      <c r="E198" s="25">
        <v>45831</v>
      </c>
      <c r="F198" s="26">
        <v>1420.1</v>
      </c>
      <c r="G198" s="26">
        <v>1960.9</v>
      </c>
      <c r="H198" s="26">
        <v>2223.6</v>
      </c>
      <c r="I198" s="26">
        <v>1581.6</v>
      </c>
      <c r="J198" s="26">
        <v>1450.8</v>
      </c>
      <c r="K198" s="93">
        <v>23095.05</v>
      </c>
    </row>
    <row r="199" spans="4:11" x14ac:dyDescent="0.3">
      <c r="D199" s="8">
        <v>193</v>
      </c>
      <c r="E199" s="25">
        <v>45828</v>
      </c>
      <c r="F199" s="26">
        <v>1427.1</v>
      </c>
      <c r="G199" s="26">
        <v>1948.4</v>
      </c>
      <c r="H199" s="26">
        <v>2184.1</v>
      </c>
      <c r="I199" s="26">
        <v>1584</v>
      </c>
      <c r="J199" s="26">
        <v>1456.8</v>
      </c>
      <c r="K199" s="93">
        <v>22906.2</v>
      </c>
    </row>
    <row r="200" spans="4:11" x14ac:dyDescent="0.3">
      <c r="D200" s="8">
        <v>194</v>
      </c>
      <c r="E200" s="25">
        <v>45827</v>
      </c>
      <c r="F200" s="26">
        <v>1411.3</v>
      </c>
      <c r="G200" s="26">
        <v>1964.7</v>
      </c>
      <c r="H200" s="26">
        <v>2169.8000000000002</v>
      </c>
      <c r="I200" s="26">
        <v>1622.9</v>
      </c>
      <c r="J200" s="26">
        <v>1466.2</v>
      </c>
      <c r="K200" s="93">
        <v>23046.45</v>
      </c>
    </row>
    <row r="201" spans="4:11" x14ac:dyDescent="0.3">
      <c r="D201" s="8">
        <v>195</v>
      </c>
      <c r="E201" s="25">
        <v>45826</v>
      </c>
      <c r="F201" s="26">
        <v>1412.6</v>
      </c>
      <c r="G201" s="26">
        <v>1935.3</v>
      </c>
      <c r="H201" s="26">
        <v>2146.4</v>
      </c>
      <c r="I201" s="26">
        <v>1618.4</v>
      </c>
      <c r="J201" s="26">
        <v>1433.3</v>
      </c>
      <c r="K201" s="93">
        <v>23337.85</v>
      </c>
    </row>
    <row r="202" spans="4:11" x14ac:dyDescent="0.3">
      <c r="D202" s="8">
        <v>196</v>
      </c>
      <c r="E202" s="25">
        <v>45825</v>
      </c>
      <c r="F202" s="26">
        <v>1423.2</v>
      </c>
      <c r="G202" s="26">
        <v>1933.9</v>
      </c>
      <c r="H202" s="26">
        <v>2132.4</v>
      </c>
      <c r="I202" s="26">
        <v>1632.9</v>
      </c>
      <c r="J202" s="26">
        <v>1430.1</v>
      </c>
      <c r="K202" s="93">
        <v>23339.95</v>
      </c>
    </row>
    <row r="203" spans="4:11" x14ac:dyDescent="0.3">
      <c r="D203" s="8">
        <v>197</v>
      </c>
      <c r="E203" s="25">
        <v>45824</v>
      </c>
      <c r="F203" s="26">
        <v>1426.9</v>
      </c>
      <c r="G203" s="26">
        <v>1929.6</v>
      </c>
      <c r="H203" s="26">
        <v>2136.8000000000002</v>
      </c>
      <c r="I203" s="26">
        <v>1639.9</v>
      </c>
      <c r="J203" s="26">
        <v>1431.2</v>
      </c>
      <c r="K203" s="93">
        <v>23330.55</v>
      </c>
    </row>
    <row r="204" spans="4:11" x14ac:dyDescent="0.3">
      <c r="D204" s="8">
        <v>198</v>
      </c>
      <c r="E204" s="25">
        <v>45821</v>
      </c>
      <c r="F204" s="26">
        <v>1416.1</v>
      </c>
      <c r="G204" s="26">
        <v>1935.4</v>
      </c>
      <c r="H204" s="26">
        <v>2139</v>
      </c>
      <c r="I204" s="26">
        <v>1623.8</v>
      </c>
      <c r="J204" s="26">
        <v>1437.8</v>
      </c>
      <c r="K204" s="93">
        <v>23165.1</v>
      </c>
    </row>
    <row r="205" spans="4:11" x14ac:dyDescent="0.3">
      <c r="D205" s="8">
        <v>199</v>
      </c>
      <c r="E205" s="25">
        <v>45820</v>
      </c>
      <c r="F205" s="26">
        <v>1425.2</v>
      </c>
      <c r="G205" s="26">
        <v>1917.6</v>
      </c>
      <c r="H205" s="26">
        <v>2107.4</v>
      </c>
      <c r="I205" s="26">
        <v>1602</v>
      </c>
      <c r="J205" s="26">
        <v>1427.9</v>
      </c>
      <c r="K205" s="93">
        <v>22934.5</v>
      </c>
    </row>
    <row r="206" spans="4:11" x14ac:dyDescent="0.3">
      <c r="D206" s="8">
        <v>200</v>
      </c>
      <c r="E206" s="25">
        <v>45819</v>
      </c>
      <c r="F206" s="26">
        <v>1431</v>
      </c>
      <c r="G206" s="26">
        <v>1950.4</v>
      </c>
      <c r="H206" s="26">
        <v>2145.3000000000002</v>
      </c>
      <c r="I206" s="26">
        <v>1631.1</v>
      </c>
      <c r="J206" s="26">
        <v>1448.9</v>
      </c>
      <c r="K206" s="93">
        <v>22807.85</v>
      </c>
    </row>
    <row r="207" spans="4:11" x14ac:dyDescent="0.3">
      <c r="D207" s="8">
        <v>201</v>
      </c>
      <c r="E207" s="25">
        <v>45819</v>
      </c>
      <c r="F207" s="26">
        <v>1422.9</v>
      </c>
      <c r="G207" s="26">
        <v>1943.4</v>
      </c>
      <c r="H207" s="26">
        <v>2126.8000000000002</v>
      </c>
      <c r="I207" s="26">
        <v>1608.6</v>
      </c>
      <c r="J207" s="26">
        <v>1441.6</v>
      </c>
      <c r="K207" s="93">
        <v>22711.3</v>
      </c>
    </row>
    <row r="208" spans="4:11" x14ac:dyDescent="0.3">
      <c r="D208" s="8">
        <v>202</v>
      </c>
      <c r="E208" s="25">
        <v>45818</v>
      </c>
      <c r="F208" s="26">
        <v>1422.9</v>
      </c>
      <c r="G208" s="26">
        <v>1965.3</v>
      </c>
      <c r="H208" s="26">
        <v>2151.1</v>
      </c>
      <c r="I208" s="26">
        <v>1596</v>
      </c>
      <c r="J208" s="26">
        <v>1438.5</v>
      </c>
      <c r="K208" s="93">
        <v>22834.5</v>
      </c>
    </row>
    <row r="209" spans="4:11" x14ac:dyDescent="0.3">
      <c r="D209" s="8">
        <v>203</v>
      </c>
      <c r="E209" s="25">
        <v>45817</v>
      </c>
      <c r="F209" s="26">
        <v>1434.8</v>
      </c>
      <c r="G209" s="26">
        <v>1978.9</v>
      </c>
      <c r="H209" s="26">
        <v>2138.1999999999998</v>
      </c>
      <c r="I209" s="26">
        <v>1572.9</v>
      </c>
      <c r="J209" s="26">
        <v>1448.8</v>
      </c>
      <c r="K209" s="93">
        <v>22801.95</v>
      </c>
    </row>
    <row r="210" spans="4:11" x14ac:dyDescent="0.3">
      <c r="D210" s="8">
        <v>204</v>
      </c>
      <c r="E210" s="25">
        <v>45814</v>
      </c>
      <c r="F210" s="26">
        <v>1459.7</v>
      </c>
      <c r="G210" s="26">
        <v>1978.7</v>
      </c>
      <c r="H210" s="26">
        <v>2073.4</v>
      </c>
      <c r="I210" s="26">
        <v>1563.8</v>
      </c>
      <c r="J210" s="26">
        <v>1443.5</v>
      </c>
      <c r="K210" s="93">
        <v>22861.35</v>
      </c>
    </row>
    <row r="211" spans="4:11" x14ac:dyDescent="0.3">
      <c r="D211" s="8">
        <v>205</v>
      </c>
      <c r="E211" s="25">
        <v>45813</v>
      </c>
      <c r="F211" s="26">
        <v>1454.8</v>
      </c>
      <c r="G211" s="26">
        <v>1949.6</v>
      </c>
      <c r="H211" s="26">
        <v>2039.9</v>
      </c>
      <c r="I211" s="26">
        <v>1554.3</v>
      </c>
      <c r="J211" s="26">
        <v>1442.4</v>
      </c>
      <c r="K211" s="93">
        <v>22779.4</v>
      </c>
    </row>
    <row r="212" spans="4:11" x14ac:dyDescent="0.3">
      <c r="D212" s="8">
        <v>206</v>
      </c>
      <c r="E212" s="25">
        <v>45812</v>
      </c>
      <c r="F212" s="26">
        <v>1431</v>
      </c>
      <c r="G212" s="26">
        <v>1941.2</v>
      </c>
      <c r="H212" s="26">
        <v>2046.3</v>
      </c>
      <c r="I212" s="26">
        <v>1551.2</v>
      </c>
      <c r="J212" s="26">
        <v>1423.5</v>
      </c>
      <c r="K212" s="93">
        <v>22816.5</v>
      </c>
    </row>
    <row r="213" spans="4:11" x14ac:dyDescent="0.3">
      <c r="D213" s="8">
        <v>207</v>
      </c>
      <c r="E213" s="25">
        <v>45811</v>
      </c>
      <c r="F213" s="26">
        <v>1437.9</v>
      </c>
      <c r="G213" s="26">
        <v>1924.6</v>
      </c>
      <c r="H213" s="26">
        <v>2044.5</v>
      </c>
      <c r="I213" s="26">
        <v>1543</v>
      </c>
      <c r="J213" s="26">
        <v>1405.5</v>
      </c>
      <c r="K213" s="93">
        <v>22908.3</v>
      </c>
    </row>
    <row r="214" spans="4:11" x14ac:dyDescent="0.3">
      <c r="D214" s="8">
        <v>208</v>
      </c>
      <c r="E214" s="25">
        <v>45810</v>
      </c>
      <c r="F214" s="26">
        <v>1450.5</v>
      </c>
      <c r="G214" s="26">
        <v>1932.1</v>
      </c>
      <c r="H214" s="26">
        <v>2063.6</v>
      </c>
      <c r="I214" s="26">
        <v>1553.8</v>
      </c>
      <c r="J214" s="26">
        <v>1413.7</v>
      </c>
      <c r="K214" s="93">
        <v>22781.05</v>
      </c>
    </row>
    <row r="215" spans="4:11" x14ac:dyDescent="0.3">
      <c r="D215" s="8">
        <v>209</v>
      </c>
      <c r="E215" s="25">
        <v>45807</v>
      </c>
      <c r="F215" s="26">
        <v>1445.8</v>
      </c>
      <c r="G215" s="26">
        <v>1944.9</v>
      </c>
      <c r="H215" s="26">
        <v>2074.6999999999998</v>
      </c>
      <c r="I215" s="26">
        <v>1562.7</v>
      </c>
      <c r="J215" s="26">
        <v>1420.9</v>
      </c>
      <c r="K215" s="93">
        <v>22595</v>
      </c>
    </row>
    <row r="216" spans="4:11" x14ac:dyDescent="0.3">
      <c r="D216" s="8">
        <v>210</v>
      </c>
      <c r="E216" s="25">
        <v>45806</v>
      </c>
      <c r="F216" s="26">
        <v>1456.5</v>
      </c>
      <c r="G216" s="26">
        <v>1927.5</v>
      </c>
      <c r="H216" s="26">
        <v>2081.6</v>
      </c>
      <c r="I216" s="26">
        <v>1585.6</v>
      </c>
      <c r="J216" s="26">
        <v>1417.8</v>
      </c>
      <c r="K216" s="93">
        <v>22730.65</v>
      </c>
    </row>
    <row r="217" spans="4:11" x14ac:dyDescent="0.3">
      <c r="D217" s="8">
        <v>211</v>
      </c>
      <c r="E217" s="25">
        <v>45805</v>
      </c>
      <c r="F217" s="26">
        <v>1453.8</v>
      </c>
      <c r="G217" s="26">
        <v>1923.5</v>
      </c>
      <c r="H217" s="26">
        <v>2074.3000000000002</v>
      </c>
      <c r="I217" s="26">
        <v>1571.8</v>
      </c>
      <c r="J217" s="26">
        <v>1412.9</v>
      </c>
      <c r="K217" s="93">
        <v>22585.599999999999</v>
      </c>
    </row>
    <row r="218" spans="4:11" x14ac:dyDescent="0.3">
      <c r="D218" s="8">
        <v>212</v>
      </c>
      <c r="E218" s="25">
        <v>45804</v>
      </c>
      <c r="F218" s="26">
        <v>1446.4</v>
      </c>
      <c r="G218" s="26">
        <v>1926.3</v>
      </c>
      <c r="H218" s="26">
        <v>2077.4</v>
      </c>
      <c r="I218" s="26">
        <v>1570.1</v>
      </c>
      <c r="J218" s="26">
        <v>1422.1</v>
      </c>
      <c r="K218" s="93">
        <v>22865.8</v>
      </c>
    </row>
    <row r="219" spans="4:11" x14ac:dyDescent="0.3">
      <c r="D219" s="8">
        <v>213</v>
      </c>
      <c r="E219" s="25">
        <v>45803</v>
      </c>
      <c r="F219" s="26">
        <v>1460.6</v>
      </c>
      <c r="G219" s="26">
        <v>1940.2</v>
      </c>
      <c r="H219" s="26">
        <v>2089.3000000000002</v>
      </c>
      <c r="I219" s="26">
        <v>1580.5</v>
      </c>
      <c r="J219" s="26">
        <v>1434.8</v>
      </c>
      <c r="K219" s="93">
        <v>22870.9</v>
      </c>
    </row>
    <row r="220" spans="4:11" x14ac:dyDescent="0.3">
      <c r="D220" s="8">
        <v>214</v>
      </c>
      <c r="E220" s="25">
        <v>45800</v>
      </c>
      <c r="F220" s="26">
        <v>1449.8</v>
      </c>
      <c r="G220" s="26">
        <v>1933.6</v>
      </c>
      <c r="H220" s="26">
        <v>2100.8000000000002</v>
      </c>
      <c r="I220" s="26">
        <v>1564.8</v>
      </c>
      <c r="J220" s="26">
        <v>1426.8</v>
      </c>
      <c r="K220" s="93">
        <v>22788.799999999999</v>
      </c>
    </row>
    <row r="221" spans="4:11" x14ac:dyDescent="0.3">
      <c r="D221" s="8">
        <v>215</v>
      </c>
      <c r="E221" s="25">
        <v>45799</v>
      </c>
      <c r="F221" s="26">
        <v>1442.1</v>
      </c>
      <c r="G221" s="26">
        <v>1919.9</v>
      </c>
      <c r="H221" s="26">
        <v>2065.8000000000002</v>
      </c>
      <c r="I221" s="26">
        <v>1547.5</v>
      </c>
      <c r="J221" s="26">
        <v>1409.4</v>
      </c>
      <c r="K221" s="93">
        <v>22499.5</v>
      </c>
    </row>
    <row r="222" spans="4:11" x14ac:dyDescent="0.3">
      <c r="D222" s="8">
        <v>216</v>
      </c>
      <c r="E222" s="25">
        <v>45798</v>
      </c>
      <c r="F222" s="26">
        <v>1444.7</v>
      </c>
      <c r="G222" s="26">
        <v>1926.8</v>
      </c>
      <c r="H222" s="26">
        <v>2071.3000000000002</v>
      </c>
      <c r="I222" s="26">
        <v>1568.5</v>
      </c>
      <c r="J222" s="26">
        <v>1429.2</v>
      </c>
      <c r="K222" s="93">
        <v>22349.4</v>
      </c>
    </row>
    <row r="223" spans="4:11" x14ac:dyDescent="0.3">
      <c r="D223" s="8">
        <v>217</v>
      </c>
      <c r="E223" s="25">
        <v>45797</v>
      </c>
      <c r="F223" s="26">
        <v>1438.2</v>
      </c>
      <c r="G223" s="26">
        <v>1914.9</v>
      </c>
      <c r="H223" s="26">
        <v>2090.1</v>
      </c>
      <c r="I223" s="26">
        <v>1560.6</v>
      </c>
      <c r="J223" s="26">
        <v>1424.6</v>
      </c>
      <c r="K223" s="93">
        <v>22511.4</v>
      </c>
    </row>
    <row r="224" spans="4:11" x14ac:dyDescent="0.3">
      <c r="D224" s="8">
        <v>218</v>
      </c>
      <c r="E224" s="25">
        <v>45796</v>
      </c>
      <c r="F224" s="26">
        <v>1449</v>
      </c>
      <c r="G224" s="26">
        <v>1938.7</v>
      </c>
      <c r="H224" s="26">
        <v>2111.1999999999998</v>
      </c>
      <c r="I224" s="26">
        <v>1559.8</v>
      </c>
      <c r="J224" s="26">
        <v>1440.8</v>
      </c>
      <c r="K224" s="93">
        <v>21675.55</v>
      </c>
    </row>
    <row r="225" spans="4:11" x14ac:dyDescent="0.3">
      <c r="D225" s="8">
        <v>219</v>
      </c>
      <c r="E225" s="25">
        <v>45793</v>
      </c>
      <c r="F225" s="26">
        <v>1454</v>
      </c>
      <c r="G225" s="26">
        <v>1934.7</v>
      </c>
      <c r="H225" s="26">
        <v>2108.1999999999998</v>
      </c>
      <c r="I225" s="26">
        <v>1589.9</v>
      </c>
      <c r="J225" s="26">
        <v>1456.4</v>
      </c>
      <c r="K225" s="93">
        <v>21843.05</v>
      </c>
    </row>
    <row r="226" spans="4:11" x14ac:dyDescent="0.3">
      <c r="D226" s="8">
        <v>220</v>
      </c>
      <c r="E226" s="25">
        <v>45792</v>
      </c>
      <c r="F226" s="26">
        <v>1450.8</v>
      </c>
      <c r="G226" s="26">
        <v>1933.8</v>
      </c>
      <c r="H226" s="26">
        <v>2106.4</v>
      </c>
      <c r="I226" s="26">
        <v>1613</v>
      </c>
      <c r="J226" s="26">
        <v>1454.2</v>
      </c>
      <c r="K226" s="93">
        <v>22072.45</v>
      </c>
    </row>
    <row r="227" spans="4:11" x14ac:dyDescent="0.3">
      <c r="D227" s="8">
        <v>221</v>
      </c>
      <c r="E227" s="25">
        <v>45791</v>
      </c>
      <c r="F227" s="26">
        <v>1426.2</v>
      </c>
      <c r="G227" s="26">
        <v>1910.6</v>
      </c>
      <c r="H227" s="26">
        <v>2092.4</v>
      </c>
      <c r="I227" s="26">
        <v>1592.4</v>
      </c>
      <c r="J227" s="26">
        <v>1424.4</v>
      </c>
      <c r="K227" s="93">
        <v>21956.6</v>
      </c>
    </row>
    <row r="228" spans="4:11" x14ac:dyDescent="0.3">
      <c r="D228" s="8">
        <v>222</v>
      </c>
      <c r="E228" s="25">
        <v>45790</v>
      </c>
      <c r="F228" s="26">
        <v>1430.6</v>
      </c>
      <c r="G228" s="26">
        <v>1922.6</v>
      </c>
      <c r="H228" s="26">
        <v>2115.6</v>
      </c>
      <c r="I228" s="26">
        <v>1568.6</v>
      </c>
      <c r="J228" s="26">
        <v>1415.7</v>
      </c>
      <c r="K228" s="93">
        <v>22195.15</v>
      </c>
    </row>
    <row r="229" spans="4:11" x14ac:dyDescent="0.3">
      <c r="D229" s="8">
        <v>223</v>
      </c>
      <c r="E229" s="25">
        <v>45789</v>
      </c>
      <c r="F229" s="26">
        <v>1448.5</v>
      </c>
      <c r="G229" s="26">
        <v>1957.2</v>
      </c>
      <c r="H229" s="26">
        <v>2145</v>
      </c>
      <c r="I229" s="26">
        <v>1626.9</v>
      </c>
      <c r="J229" s="26">
        <v>1436.5</v>
      </c>
      <c r="K229" s="93">
        <v>22006</v>
      </c>
    </row>
    <row r="230" spans="4:11" x14ac:dyDescent="0.3">
      <c r="D230" s="8">
        <v>224</v>
      </c>
      <c r="E230" s="25">
        <v>45786</v>
      </c>
      <c r="F230" s="26">
        <v>1388.9</v>
      </c>
      <c r="G230" s="26">
        <v>1889.7</v>
      </c>
      <c r="H230" s="26">
        <v>2103.1</v>
      </c>
      <c r="I230" s="26">
        <v>1507.6</v>
      </c>
      <c r="J230" s="26">
        <v>1377.2</v>
      </c>
      <c r="K230" s="93">
        <v>22030.05</v>
      </c>
    </row>
    <row r="231" spans="4:11" x14ac:dyDescent="0.3">
      <c r="D231" s="8">
        <v>225</v>
      </c>
      <c r="E231" s="25">
        <v>45785</v>
      </c>
      <c r="F231" s="26">
        <v>1435.5</v>
      </c>
      <c r="G231" s="26">
        <v>1928.5</v>
      </c>
      <c r="H231" s="26">
        <v>2112.6</v>
      </c>
      <c r="I231" s="26">
        <v>1511.4</v>
      </c>
      <c r="J231" s="26">
        <v>1407</v>
      </c>
      <c r="K231" s="93">
        <v>22112.400000000001</v>
      </c>
    </row>
    <row r="232" spans="4:11" x14ac:dyDescent="0.3">
      <c r="D232" s="8">
        <v>226</v>
      </c>
      <c r="E232" s="25">
        <v>45784</v>
      </c>
      <c r="F232" s="26">
        <v>1435.4</v>
      </c>
      <c r="G232" s="26">
        <v>1945.6</v>
      </c>
      <c r="H232" s="26">
        <v>2094.9</v>
      </c>
      <c r="I232" s="26">
        <v>1508.3</v>
      </c>
      <c r="J232" s="26">
        <v>1406</v>
      </c>
      <c r="K232" s="93">
        <v>22101.85</v>
      </c>
    </row>
    <row r="233" spans="4:11" x14ac:dyDescent="0.3">
      <c r="D233" s="8">
        <v>227</v>
      </c>
      <c r="E233" s="25">
        <v>45783</v>
      </c>
      <c r="F233" s="26">
        <v>1431.6</v>
      </c>
      <c r="G233" s="26">
        <v>1931.7</v>
      </c>
      <c r="H233" s="26">
        <v>2074</v>
      </c>
      <c r="I233" s="26">
        <v>1511.5</v>
      </c>
      <c r="J233" s="26">
        <v>1420.9</v>
      </c>
      <c r="K233" s="93">
        <v>21848.15</v>
      </c>
    </row>
    <row r="234" spans="4:11" x14ac:dyDescent="0.3">
      <c r="D234" s="8">
        <v>228</v>
      </c>
      <c r="E234" s="25">
        <v>45782</v>
      </c>
      <c r="F234" s="26">
        <v>1429.4</v>
      </c>
      <c r="G234" s="26">
        <v>1936.8</v>
      </c>
      <c r="H234" s="26">
        <v>2084.9</v>
      </c>
      <c r="I234" s="26">
        <v>1508.6</v>
      </c>
      <c r="J234" s="26">
        <v>1431.3</v>
      </c>
      <c r="K234" s="93">
        <v>22180.65</v>
      </c>
    </row>
    <row r="235" spans="4:11" x14ac:dyDescent="0.3">
      <c r="D235" s="8">
        <v>229</v>
      </c>
      <c r="E235" s="25">
        <v>45779</v>
      </c>
      <c r="F235" s="26">
        <v>1432.4</v>
      </c>
      <c r="G235" s="26">
        <v>1925</v>
      </c>
      <c r="H235" s="26">
        <v>2185.1999999999998</v>
      </c>
      <c r="I235" s="26">
        <v>1506.8</v>
      </c>
      <c r="J235" s="26">
        <v>1422.4</v>
      </c>
      <c r="K235" s="93">
        <v>22237.599999999999</v>
      </c>
    </row>
    <row r="236" spans="4:11" x14ac:dyDescent="0.3">
      <c r="D236" s="8">
        <v>230</v>
      </c>
      <c r="E236" s="25">
        <v>45777</v>
      </c>
      <c r="F236" s="26">
        <v>1427</v>
      </c>
      <c r="G236" s="26">
        <v>1925</v>
      </c>
      <c r="H236" s="26">
        <v>2208.1</v>
      </c>
      <c r="I236" s="26">
        <v>1500.1</v>
      </c>
      <c r="J236" s="26">
        <v>1405</v>
      </c>
      <c r="K236" s="93">
        <v>22085.15</v>
      </c>
    </row>
    <row r="237" spans="4:11" x14ac:dyDescent="0.3">
      <c r="D237" s="8">
        <v>231</v>
      </c>
      <c r="E237" s="25">
        <v>45776</v>
      </c>
      <c r="F237" s="26">
        <v>1429.8</v>
      </c>
      <c r="G237" s="26">
        <v>1908.8</v>
      </c>
      <c r="H237" s="26">
        <v>2205</v>
      </c>
      <c r="I237" s="26">
        <v>1497.5</v>
      </c>
      <c r="J237" s="26">
        <v>1399.7</v>
      </c>
      <c r="K237" s="93">
        <v>22005.75</v>
      </c>
    </row>
    <row r="238" spans="4:11" x14ac:dyDescent="0.3">
      <c r="D238" s="8">
        <v>232</v>
      </c>
      <c r="E238" s="25">
        <v>45775</v>
      </c>
      <c r="F238" s="26">
        <v>1428.8</v>
      </c>
      <c r="G238" s="26">
        <v>1920.2</v>
      </c>
      <c r="H238" s="26">
        <v>2225.6</v>
      </c>
      <c r="I238" s="26">
        <v>1482.1</v>
      </c>
      <c r="J238" s="26">
        <v>1368.8</v>
      </c>
      <c r="K238" s="93">
        <v>21681.55</v>
      </c>
    </row>
    <row r="239" spans="4:11" x14ac:dyDescent="0.3">
      <c r="D239" s="8">
        <v>233</v>
      </c>
      <c r="E239" s="25">
        <v>45772</v>
      </c>
      <c r="F239" s="26">
        <v>1404.8</v>
      </c>
      <c r="G239" s="26">
        <v>1911.2</v>
      </c>
      <c r="H239" s="26">
        <v>2204.4</v>
      </c>
      <c r="I239" s="26">
        <v>1480.2</v>
      </c>
      <c r="J239" s="26">
        <v>1300.4000000000001</v>
      </c>
      <c r="K239" s="93">
        <v>21404.35</v>
      </c>
    </row>
    <row r="240" spans="4:11" x14ac:dyDescent="0.3">
      <c r="D240" s="8">
        <v>234</v>
      </c>
      <c r="E240" s="25">
        <v>45771</v>
      </c>
      <c r="F240" s="26">
        <v>1402.7</v>
      </c>
      <c r="G240" s="26">
        <v>1916.8</v>
      </c>
      <c r="H240" s="26">
        <v>2223</v>
      </c>
      <c r="I240" s="26">
        <v>1471.4</v>
      </c>
      <c r="J240" s="26">
        <v>1301.5999999999999</v>
      </c>
      <c r="K240" s="93">
        <v>21279.4</v>
      </c>
    </row>
    <row r="241" spans="4:11" x14ac:dyDescent="0.3">
      <c r="D241" s="8">
        <v>235</v>
      </c>
      <c r="E241" s="25">
        <v>45770</v>
      </c>
      <c r="F241" s="26">
        <v>1424.4</v>
      </c>
      <c r="G241" s="26">
        <v>1923.9</v>
      </c>
      <c r="H241" s="26">
        <v>2227</v>
      </c>
      <c r="I241" s="26">
        <v>1474.9</v>
      </c>
      <c r="J241" s="26">
        <v>1300</v>
      </c>
      <c r="K241" s="93">
        <v>20752.849999999999</v>
      </c>
    </row>
    <row r="242" spans="4:11" x14ac:dyDescent="0.3">
      <c r="D242" s="8">
        <v>236</v>
      </c>
      <c r="E242" s="25">
        <v>45769</v>
      </c>
      <c r="F242" s="26">
        <v>1416.5</v>
      </c>
      <c r="G242" s="26">
        <v>1961.7</v>
      </c>
      <c r="H242" s="26">
        <v>2268.8000000000002</v>
      </c>
      <c r="I242" s="26">
        <v>1422.8</v>
      </c>
      <c r="J242" s="26">
        <v>1291.2</v>
      </c>
      <c r="K242" s="93">
        <v>20356.75</v>
      </c>
    </row>
    <row r="243" spans="4:11" x14ac:dyDescent="0.3">
      <c r="D243" s="8">
        <v>237</v>
      </c>
      <c r="E243" s="25">
        <v>45768</v>
      </c>
      <c r="F243" s="26">
        <v>1409.8</v>
      </c>
      <c r="G243" s="26">
        <v>1927.1</v>
      </c>
      <c r="H243" s="26">
        <v>2241.4</v>
      </c>
      <c r="I243" s="26">
        <v>1451</v>
      </c>
      <c r="J243" s="26">
        <v>1295.5</v>
      </c>
      <c r="K243" s="93">
        <v>20480.8</v>
      </c>
    </row>
    <row r="244" spans="4:11" x14ac:dyDescent="0.3">
      <c r="D244" s="8">
        <v>238</v>
      </c>
      <c r="E244" s="25">
        <v>45764</v>
      </c>
      <c r="F244" s="26">
        <v>1406.7</v>
      </c>
      <c r="G244" s="26">
        <v>1906.7</v>
      </c>
      <c r="H244" s="26">
        <v>2188.1</v>
      </c>
      <c r="I244" s="26">
        <v>1419.5</v>
      </c>
      <c r="J244" s="26">
        <v>1274.5</v>
      </c>
      <c r="K244" s="93">
        <v>20105.7</v>
      </c>
    </row>
    <row r="245" spans="4:11" x14ac:dyDescent="0.3">
      <c r="D245" s="8">
        <v>239</v>
      </c>
      <c r="E245" s="25">
        <v>45763</v>
      </c>
      <c r="F245" s="26">
        <v>1356.4</v>
      </c>
      <c r="G245" s="26">
        <v>1878</v>
      </c>
      <c r="H245" s="26">
        <v>2123.4</v>
      </c>
      <c r="I245" s="26">
        <v>1413.1</v>
      </c>
      <c r="J245" s="26">
        <v>1239.3</v>
      </c>
      <c r="K245" s="93">
        <v>20805.349999999999</v>
      </c>
    </row>
    <row r="246" spans="4:11" x14ac:dyDescent="0.3">
      <c r="D246" s="8">
        <v>240</v>
      </c>
      <c r="E246" s="25">
        <v>45762</v>
      </c>
      <c r="F246" s="26">
        <v>1350.2</v>
      </c>
      <c r="G246" s="26">
        <v>1864.9</v>
      </c>
      <c r="H246" s="26">
        <v>2120.1999999999998</v>
      </c>
      <c r="I246" s="26">
        <v>1426</v>
      </c>
      <c r="J246" s="26">
        <v>1240.0999999999999</v>
      </c>
      <c r="K246" s="93">
        <v>21243.4</v>
      </c>
    </row>
    <row r="247" spans="4:11" x14ac:dyDescent="0.3">
      <c r="D247" s="8">
        <v>241</v>
      </c>
      <c r="E247" s="25">
        <v>45758</v>
      </c>
      <c r="F247" s="26">
        <v>1311.65</v>
      </c>
      <c r="G247" s="26">
        <v>1806.75</v>
      </c>
      <c r="H247" s="26">
        <v>2111.1999999999998</v>
      </c>
      <c r="I247" s="26">
        <v>1409.45</v>
      </c>
      <c r="J247" s="26">
        <v>1218.95</v>
      </c>
      <c r="K247" s="93">
        <v>21265.65</v>
      </c>
    </row>
    <row r="248" spans="4:11" x14ac:dyDescent="0.3">
      <c r="D248" s="8">
        <v>242</v>
      </c>
      <c r="E248" s="25">
        <v>45756</v>
      </c>
      <c r="F248" s="26">
        <v>1300.8</v>
      </c>
      <c r="G248" s="26">
        <v>1765</v>
      </c>
      <c r="H248" s="26">
        <v>2052.6999999999998</v>
      </c>
      <c r="I248" s="26">
        <v>1403.7</v>
      </c>
      <c r="J248" s="26">
        <v>1185.3499999999999</v>
      </c>
      <c r="K248" s="93">
        <v>21070.75</v>
      </c>
    </row>
    <row r="249" spans="4:11" x14ac:dyDescent="0.3">
      <c r="D249" s="8">
        <v>243</v>
      </c>
      <c r="E249" s="25">
        <v>45755</v>
      </c>
      <c r="F249" s="26">
        <v>1299.9000000000001</v>
      </c>
      <c r="G249" s="26">
        <v>1769.15</v>
      </c>
      <c r="H249" s="26">
        <v>2055.15</v>
      </c>
      <c r="I249" s="26">
        <v>1428.8</v>
      </c>
      <c r="J249" s="26">
        <v>1182.2</v>
      </c>
      <c r="K249" s="93">
        <v>21339.55</v>
      </c>
    </row>
    <row r="250" spans="4:11" x14ac:dyDescent="0.3">
      <c r="D250" s="8">
        <v>244</v>
      </c>
      <c r="E250" s="25">
        <v>45754</v>
      </c>
      <c r="F250" s="26">
        <v>1287.55</v>
      </c>
      <c r="G250" s="26">
        <v>1757.7</v>
      </c>
      <c r="H250" s="26">
        <v>2037.85</v>
      </c>
      <c r="I250" s="26">
        <v>1396.75</v>
      </c>
      <c r="J250" s="26">
        <v>1165.7</v>
      </c>
      <c r="K250" s="93">
        <v>21407.95</v>
      </c>
    </row>
    <row r="251" spans="4:11" x14ac:dyDescent="0.3">
      <c r="D251" s="8">
        <v>245</v>
      </c>
      <c r="E251" s="25">
        <v>45751</v>
      </c>
      <c r="F251" s="26">
        <v>1335.3</v>
      </c>
      <c r="G251" s="26">
        <v>1817.3</v>
      </c>
      <c r="H251" s="26">
        <v>2131.9499999999998</v>
      </c>
      <c r="I251" s="26">
        <v>1451.65</v>
      </c>
      <c r="J251" s="26">
        <v>1204.7</v>
      </c>
      <c r="K251" s="93">
        <v>21275.45</v>
      </c>
    </row>
    <row r="252" spans="4:11" x14ac:dyDescent="0.3">
      <c r="D252" s="8">
        <v>246</v>
      </c>
      <c r="E252" s="25">
        <v>45750</v>
      </c>
      <c r="F252" s="26">
        <v>1329.55</v>
      </c>
      <c r="G252" s="26">
        <v>1794.85</v>
      </c>
      <c r="H252" s="26">
        <v>2132.6</v>
      </c>
      <c r="I252" s="26">
        <v>1496.5</v>
      </c>
      <c r="J252" s="26">
        <v>1248.7</v>
      </c>
      <c r="K252" s="93">
        <v>21437.75</v>
      </c>
    </row>
    <row r="253" spans="4:11" x14ac:dyDescent="0.3">
      <c r="D253" s="8">
        <v>247</v>
      </c>
      <c r="E253" s="25">
        <v>45749</v>
      </c>
      <c r="F253" s="26">
        <v>1331.25</v>
      </c>
      <c r="G253" s="26">
        <v>1796.9</v>
      </c>
      <c r="H253" s="26">
        <v>2154.6</v>
      </c>
      <c r="I253" s="26">
        <v>1550.15</v>
      </c>
      <c r="J253" s="26">
        <v>1251.1500000000001</v>
      </c>
      <c r="K253" s="93">
        <v>21538.1</v>
      </c>
    </row>
    <row r="254" spans="4:11" x14ac:dyDescent="0.3">
      <c r="D254" s="8">
        <v>248</v>
      </c>
      <c r="E254" s="25">
        <v>45748</v>
      </c>
      <c r="F254" s="26">
        <v>1318.45</v>
      </c>
      <c r="G254" s="26">
        <v>1767.85</v>
      </c>
      <c r="H254" s="26">
        <v>2145.9</v>
      </c>
      <c r="I254" s="26">
        <v>1526.5</v>
      </c>
      <c r="J254" s="26">
        <v>1252.5999999999999</v>
      </c>
      <c r="K254" s="93">
        <v>21273.9</v>
      </c>
    </row>
    <row r="255" spans="4:11" x14ac:dyDescent="0.3">
      <c r="D255" s="8">
        <v>249</v>
      </c>
      <c r="E255" s="25">
        <v>45744</v>
      </c>
      <c r="F255" s="26">
        <v>1348.35</v>
      </c>
      <c r="G255" s="26">
        <v>1828.2</v>
      </c>
      <c r="H255" s="26">
        <v>2171.1999999999998</v>
      </c>
      <c r="I255" s="26">
        <v>1570.65</v>
      </c>
      <c r="J255" s="26">
        <v>1275.0999999999999</v>
      </c>
      <c r="K255" s="93">
        <v>21174.5</v>
      </c>
    </row>
    <row r="256" spans="4:11" x14ac:dyDescent="0.3">
      <c r="D256" s="8">
        <v>250</v>
      </c>
      <c r="E256" s="25">
        <v>45743</v>
      </c>
      <c r="F256" s="26">
        <v>1336.65</v>
      </c>
      <c r="G256" s="26">
        <v>1825.35</v>
      </c>
      <c r="H256" s="26">
        <v>2128.65</v>
      </c>
      <c r="I256" s="26">
        <v>1603.55</v>
      </c>
      <c r="J256" s="26">
        <v>1278.2</v>
      </c>
      <c r="K256" s="93">
        <v>21178.5</v>
      </c>
    </row>
    <row r="257" spans="4:11" x14ac:dyDescent="0.3">
      <c r="D257" s="8">
        <v>251</v>
      </c>
      <c r="E257" s="25">
        <v>45742</v>
      </c>
      <c r="F257" s="26">
        <v>1335.9</v>
      </c>
      <c r="G257" s="26">
        <v>1806.55</v>
      </c>
      <c r="H257" s="26">
        <v>2144.9</v>
      </c>
      <c r="I257" s="26">
        <v>1599.45</v>
      </c>
      <c r="J257" s="26">
        <v>1273.05</v>
      </c>
      <c r="K257" s="93">
        <v>21077.200000000001</v>
      </c>
    </row>
    <row r="258" spans="4:11" x14ac:dyDescent="0.3">
      <c r="D258" s="8">
        <v>252</v>
      </c>
      <c r="E258" s="25">
        <v>45741</v>
      </c>
      <c r="F258" s="26">
        <v>1343.7</v>
      </c>
      <c r="G258" s="26">
        <v>1821.45</v>
      </c>
      <c r="H258" s="26">
        <v>2170</v>
      </c>
      <c r="I258" s="26">
        <v>1628.45</v>
      </c>
      <c r="J258" s="26">
        <v>1285.45</v>
      </c>
      <c r="K258" s="93">
        <v>21065.4</v>
      </c>
    </row>
    <row r="259" spans="4:11" ht="16.2" thickBot="1" x14ac:dyDescent="0.35">
      <c r="D259" s="9">
        <v>253</v>
      </c>
      <c r="E259" s="28">
        <v>45740</v>
      </c>
      <c r="F259" s="29">
        <v>1358.15</v>
      </c>
      <c r="G259" s="29">
        <v>1800</v>
      </c>
      <c r="H259" s="29">
        <v>2176.15</v>
      </c>
      <c r="I259" s="29">
        <v>1592.75</v>
      </c>
      <c r="J259" s="29">
        <v>1302.0999999999999</v>
      </c>
      <c r="K259" s="94">
        <v>21055.599999999999</v>
      </c>
    </row>
  </sheetData>
  <sortState ref="D7:J259">
    <sortCondition descending="1" ref="E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J260"/>
  <sheetViews>
    <sheetView topLeftCell="C1" zoomScale="70" workbookViewId="0">
      <selection activeCell="G6" sqref="G6"/>
    </sheetView>
  </sheetViews>
  <sheetFormatPr defaultRowHeight="15.6" x14ac:dyDescent="0.3"/>
  <cols>
    <col min="4" max="4" width="13.59765625" customWidth="1"/>
    <col min="5" max="5" width="11.69921875" customWidth="1"/>
    <col min="6" max="6" width="13" customWidth="1"/>
    <col min="7" max="7" width="23.19921875" customWidth="1"/>
    <col min="8" max="8" width="12.19921875" customWidth="1"/>
    <col min="9" max="9" width="26.69921875" customWidth="1"/>
  </cols>
  <sheetData>
    <row r="4" spans="4:10" ht="18" x14ac:dyDescent="0.35">
      <c r="D4" s="46" t="s">
        <v>20</v>
      </c>
    </row>
    <row r="7" spans="4:10" ht="16.2" thickBot="1" x14ac:dyDescent="0.35"/>
    <row r="8" spans="4:10" ht="18" x14ac:dyDescent="0.35">
      <c r="D8" s="63" t="s">
        <v>19</v>
      </c>
      <c r="E8" s="64" t="s">
        <v>0</v>
      </c>
      <c r="F8" s="64" t="s">
        <v>1</v>
      </c>
      <c r="G8" s="64" t="s">
        <v>2</v>
      </c>
      <c r="H8" s="64" t="s">
        <v>3</v>
      </c>
      <c r="I8" s="64" t="s">
        <v>4</v>
      </c>
      <c r="J8" s="65" t="s">
        <v>22</v>
      </c>
    </row>
    <row r="9" spans="4:10" x14ac:dyDescent="0.3">
      <c r="D9" s="13">
        <v>1</v>
      </c>
      <c r="E9" s="3">
        <f>LN('Closing Prices'!F8/'Closing Prices'!F7)</f>
        <v>3.7667846581658205E-3</v>
      </c>
      <c r="F9" s="3">
        <f>LN('Closing Prices'!G8/'Closing Prices'!G7)</f>
        <v>2.2488516210211387E-2</v>
      </c>
      <c r="G9" s="3">
        <f>LN('Closing Prices'!H8/'Closing Prices'!H7)</f>
        <v>-3.2017103124191522E-3</v>
      </c>
      <c r="H9" s="3">
        <f>LN('Closing Prices'!I8/'Closing Prices'!I7)</f>
        <v>-7.163609173301877E-4</v>
      </c>
      <c r="I9" s="3">
        <f>LN('Closing Prices'!J8/'Closing Prices'!J7)</f>
        <v>1.6685553061266446E-2</v>
      </c>
      <c r="J9" s="4">
        <f>LN('Closing Prices'!K8/'Closing Prices'!K7)</f>
        <v>-4.7986518644361209E-3</v>
      </c>
    </row>
    <row r="10" spans="4:10" x14ac:dyDescent="0.3">
      <c r="D10" s="13">
        <v>2</v>
      </c>
      <c r="E10" s="3">
        <f>LN('Closing Prices'!F9/'Closing Prices'!F8)</f>
        <v>3.0875887320274492E-2</v>
      </c>
      <c r="F10" s="3">
        <f>LN('Closing Prices'!G9/'Closing Prices'!G8)</f>
        <v>5.4667075609356026E-2</v>
      </c>
      <c r="G10" s="3">
        <f>LN('Closing Prices'!H9/'Closing Prices'!H8)</f>
        <v>-1.1692895806112541E-2</v>
      </c>
      <c r="H10" s="3">
        <f>LN('Closing Prices'!I9/'Closing Prices'!I8)</f>
        <v>-2.8346065493888566E-2</v>
      </c>
      <c r="I10" s="3">
        <f>LN('Closing Prices'!J9/'Closing Prices'!J8)</f>
        <v>-7.4847981034191109E-3</v>
      </c>
      <c r="J10" s="4">
        <f>LN('Closing Prices'!K9/'Closing Prices'!K8)</f>
        <v>3.2063419017277148E-2</v>
      </c>
    </row>
    <row r="11" spans="4:10" x14ac:dyDescent="0.3">
      <c r="D11" s="13">
        <v>3</v>
      </c>
      <c r="E11" s="3">
        <f>LN('Closing Prices'!F10/'Closing Prices'!F9)</f>
        <v>-4.6547712244640903E-4</v>
      </c>
      <c r="F11" s="3">
        <f>LN('Closing Prices'!G10/'Closing Prices'!G9)</f>
        <v>2.7244745589858582E-3</v>
      </c>
      <c r="G11" s="3">
        <f>LN('Closing Prices'!H10/'Closing Prices'!H9)</f>
        <v>-8.1444728738733624E-3</v>
      </c>
      <c r="H11" s="3">
        <f>LN('Closing Prices'!I10/'Closing Prices'!I9)</f>
        <v>3.7224443274669922E-2</v>
      </c>
      <c r="I11" s="3">
        <f>LN('Closing Prices'!J10/'Closing Prices'!J9)</f>
        <v>-1.7903825457844284E-3</v>
      </c>
      <c r="J11" s="4">
        <f>LN('Closing Prices'!K10/'Closing Prices'!K9)</f>
        <v>-1.1384329602168659E-2</v>
      </c>
    </row>
    <row r="12" spans="4:10" x14ac:dyDescent="0.3">
      <c r="D12" s="13">
        <v>4</v>
      </c>
      <c r="E12" s="3">
        <f>LN('Closing Prices'!F11/'Closing Prices'!F10)</f>
        <v>-1.2336196417956583E-2</v>
      </c>
      <c r="F12" s="3">
        <f>LN('Closing Prices'!G11/'Closing Prices'!G10)</f>
        <v>-5.6348202119591408E-3</v>
      </c>
      <c r="G12" s="3">
        <f>LN('Closing Prices'!H11/'Closing Prices'!H10)</f>
        <v>2.2772660980971832E-2</v>
      </c>
      <c r="H12" s="3">
        <f>LN('Closing Prices'!I11/'Closing Prices'!I10)</f>
        <v>-2.7361706930355365E-2</v>
      </c>
      <c r="I12" s="3">
        <f>LN('Closing Prices'!J11/'Closing Prices'!J10)</f>
        <v>-1.0375480351955601E-2</v>
      </c>
      <c r="J12" s="4">
        <f>LN('Closing Prices'!K11/'Closing Prices'!K10)</f>
        <v>-7.8993926813933964E-3</v>
      </c>
    </row>
    <row r="13" spans="4:10" x14ac:dyDescent="0.3">
      <c r="D13" s="13">
        <v>5</v>
      </c>
      <c r="E13" s="3">
        <f>LN('Closing Prices'!F12/'Closing Prices'!F11)</f>
        <v>-1.432156455986588E-2</v>
      </c>
      <c r="F13" s="3">
        <f>LN('Closing Prices'!G12/'Closing Prices'!G11)</f>
        <v>-2.8476827711013439E-2</v>
      </c>
      <c r="G13" s="3">
        <f>LN('Closing Prices'!H12/'Closing Prices'!H11)</f>
        <v>2.0831339955730228E-2</v>
      </c>
      <c r="H13" s="3">
        <f>LN('Closing Prices'!I12/'Closing Prices'!I11)</f>
        <v>1.3614420620474065E-2</v>
      </c>
      <c r="I13" s="3">
        <f>LN('Closing Prices'!J12/'Closing Prices'!J11)</f>
        <v>8.2946128124593704E-3</v>
      </c>
      <c r="J13" s="4">
        <f>LN('Closing Prices'!K12/'Closing Prices'!K11)</f>
        <v>-5.0174971199917883E-3</v>
      </c>
    </row>
    <row r="14" spans="4:10" x14ac:dyDescent="0.3">
      <c r="D14" s="13">
        <v>6</v>
      </c>
      <c r="E14" s="3">
        <f>LN('Closing Prices'!F13/'Closing Prices'!F12)</f>
        <v>9.2809931252068358E-3</v>
      </c>
      <c r="F14" s="3">
        <f>LN('Closing Prices'!G13/'Closing Prices'!G12)</f>
        <v>1.9094382213786162E-2</v>
      </c>
      <c r="G14" s="3">
        <f>LN('Closing Prices'!H13/'Closing Prices'!H12)</f>
        <v>2.2322067402168112E-2</v>
      </c>
      <c r="H14" s="3">
        <f>LN('Closing Prices'!I13/'Closing Prices'!I12)</f>
        <v>-1.2009128379760737E-3</v>
      </c>
      <c r="I14" s="3">
        <f>LN('Closing Prices'!J13/'Closing Prices'!J12)</f>
        <v>-1.4376080681805722E-3</v>
      </c>
      <c r="J14" s="4">
        <f>LN('Closing Prices'!K13/'Closing Prices'!K12)</f>
        <v>2.3392852552626749E-2</v>
      </c>
    </row>
    <row r="15" spans="4:10" x14ac:dyDescent="0.3">
      <c r="D15" s="13">
        <v>7</v>
      </c>
      <c r="E15" s="3">
        <f>LN('Closing Prices'!F14/'Closing Prices'!F13)</f>
        <v>2.1944576669679843E-2</v>
      </c>
      <c r="F15" s="3">
        <f>LN('Closing Prices'!G14/'Closing Prices'!G13)</f>
        <v>1.439971449393186E-3</v>
      </c>
      <c r="G15" s="3">
        <f>LN('Closing Prices'!H14/'Closing Prices'!H13)</f>
        <v>-1.4135419119280707E-2</v>
      </c>
      <c r="H15" s="3">
        <f>LN('Closing Prices'!I14/'Closing Prices'!I13)</f>
        <v>1.3921707684199747E-2</v>
      </c>
      <c r="I15" s="3">
        <f>LN('Closing Prices'!J14/'Closing Prices'!J13)</f>
        <v>1.329065651561083E-2</v>
      </c>
      <c r="J15" s="4">
        <f>LN('Closing Prices'!K14/'Closing Prices'!K13)</f>
        <v>6.5908595018060942E-3</v>
      </c>
    </row>
    <row r="16" spans="4:10" x14ac:dyDescent="0.3">
      <c r="D16" s="13">
        <v>8</v>
      </c>
      <c r="E16" s="3">
        <f>LN('Closing Prices'!F15/'Closing Prices'!F14)</f>
        <v>1.3274700975574972E-2</v>
      </c>
      <c r="F16" s="3">
        <f>LN('Closing Prices'!G15/'Closing Prices'!G14)</f>
        <v>1.8415632704741454E-2</v>
      </c>
      <c r="G16" s="3">
        <f>LN('Closing Prices'!H15/'Closing Prices'!H14)</f>
        <v>3.4220727686706712E-2</v>
      </c>
      <c r="H16" s="3">
        <f>LN('Closing Prices'!I15/'Closing Prices'!I14)</f>
        <v>8.2609336474401673E-3</v>
      </c>
      <c r="I16" s="3">
        <f>LN('Closing Prices'!J15/'Closing Prices'!J14)</f>
        <v>1.073153478992481E-2</v>
      </c>
      <c r="J16" s="4">
        <f>LN('Closing Prices'!K15/'Closing Prices'!K14)</f>
        <v>1.354750050057831E-2</v>
      </c>
    </row>
    <row r="17" spans="4:10" x14ac:dyDescent="0.3">
      <c r="D17" s="13">
        <v>9</v>
      </c>
      <c r="E17" s="3">
        <f>LN('Closing Prices'!F16/'Closing Prices'!F15)</f>
        <v>-2.5867172074974437E-2</v>
      </c>
      <c r="F17" s="3">
        <f>LN('Closing Prices'!G16/'Closing Prices'!G15)</f>
        <v>-1.0354203086672524E-2</v>
      </c>
      <c r="G17" s="3">
        <f>LN('Closing Prices'!H16/'Closing Prices'!H15)</f>
        <v>1.8585592588067152E-2</v>
      </c>
      <c r="H17" s="3">
        <f>LN('Closing Prices'!I16/'Closing Prices'!I15)</f>
        <v>1.5008641308529212E-2</v>
      </c>
      <c r="I17" s="3">
        <f>LN('Closing Prices'!J16/'Closing Prices'!J15)</f>
        <v>-1.3574869091068874E-2</v>
      </c>
      <c r="J17" s="4">
        <f>LN('Closing Prices'!K16/'Closing Prices'!K15)</f>
        <v>-1.2901225121697224E-2</v>
      </c>
    </row>
    <row r="18" spans="4:10" x14ac:dyDescent="0.3">
      <c r="D18" s="13">
        <v>10</v>
      </c>
      <c r="E18" s="3">
        <f>LN('Closing Prices'!F17/'Closing Prices'!F16)</f>
        <v>2.7009898744862103E-2</v>
      </c>
      <c r="F18" s="3">
        <f>LN('Closing Prices'!G17/'Closing Prices'!G16)</f>
        <v>1.9261381811814766E-2</v>
      </c>
      <c r="G18" s="3">
        <f>LN('Closing Prices'!H17/'Closing Prices'!H16)</f>
        <v>-9.7453432713835459E-3</v>
      </c>
      <c r="H18" s="3">
        <f>LN('Closing Prices'!I17/'Closing Prices'!I16)</f>
        <v>1.4862757314690819E-2</v>
      </c>
      <c r="I18" s="3">
        <f>LN('Closing Prices'!J17/'Closing Prices'!J16)</f>
        <v>-1.1022944622071575E-2</v>
      </c>
      <c r="J18" s="4">
        <f>LN('Closing Prices'!K17/'Closing Prices'!K16)</f>
        <v>1.9074242599148153E-2</v>
      </c>
    </row>
    <row r="19" spans="4:10" x14ac:dyDescent="0.3">
      <c r="D19" s="13">
        <v>11</v>
      </c>
      <c r="E19" s="3">
        <f>LN('Closing Prices'!F18/'Closing Prices'!F17)</f>
        <v>3.3099240163144146E-2</v>
      </c>
      <c r="F19" s="3">
        <f>LN('Closing Prices'!G18/'Closing Prices'!G17)</f>
        <v>1.3444022386842523E-2</v>
      </c>
      <c r="G19" s="3">
        <f>LN('Closing Prices'!H18/'Closing Prices'!H17)</f>
        <v>2.3885023019735562E-2</v>
      </c>
      <c r="H19" s="3">
        <f>LN('Closing Prices'!I18/'Closing Prices'!I17)</f>
        <v>-5.0316489476359945E-3</v>
      </c>
      <c r="I19" s="3">
        <f>LN('Closing Prices'!J18/'Closing Prices'!J17)</f>
        <v>-3.2477986222841149E-2</v>
      </c>
      <c r="J19" s="4">
        <f>LN('Closing Prices'!K18/'Closing Prices'!K17)</f>
        <v>9.5841509561672752E-3</v>
      </c>
    </row>
    <row r="20" spans="4:10" x14ac:dyDescent="0.3">
      <c r="D20" s="13">
        <v>12</v>
      </c>
      <c r="E20" s="3">
        <f>LN('Closing Prices'!F19/'Closing Prices'!F18)</f>
        <v>5.728991064163547E-3</v>
      </c>
      <c r="F20" s="3">
        <f>LN('Closing Prices'!G19/'Closing Prices'!G18)</f>
        <v>1.042153270863312E-2</v>
      </c>
      <c r="G20" s="3">
        <f>LN('Closing Prices'!H19/'Closing Prices'!H18)</f>
        <v>5.0706374489599866E-3</v>
      </c>
      <c r="H20" s="3">
        <f>LN('Closing Prices'!I19/'Closing Prices'!I18)</f>
        <v>-1.9891369116958515E-3</v>
      </c>
      <c r="I20" s="3">
        <f>LN('Closing Prices'!J19/'Closing Prices'!J18)</f>
        <v>9.6190160827020529E-3</v>
      </c>
      <c r="J20" s="4">
        <f>LN('Closing Prices'!K19/'Closing Prices'!K18)</f>
        <v>-1.2769640305336043E-2</v>
      </c>
    </row>
    <row r="21" spans="4:10" x14ac:dyDescent="0.3">
      <c r="D21" s="13">
        <v>13</v>
      </c>
      <c r="E21" s="3">
        <f>LN('Closing Prices'!F20/'Closing Prices'!F19)</f>
        <v>6.2787677981145677E-3</v>
      </c>
      <c r="F21" s="3">
        <f>LN('Closing Prices'!G20/'Closing Prices'!G19)</f>
        <v>-1.0421532708633175E-2</v>
      </c>
      <c r="G21" s="3">
        <f>LN('Closing Prices'!H20/'Closing Prices'!H19)</f>
        <v>2.2269452593693694E-2</v>
      </c>
      <c r="H21" s="3">
        <f>LN('Closing Prices'!I20/'Closing Prices'!I19)</f>
        <v>1.2245524260960877E-3</v>
      </c>
      <c r="I21" s="3">
        <f>LN('Closing Prices'!J20/'Closing Prices'!J19)</f>
        <v>2.6092544617199391E-2</v>
      </c>
      <c r="J21" s="4">
        <f>LN('Closing Prices'!K20/'Closing Prices'!K19)</f>
        <v>1.8837685388531446E-2</v>
      </c>
    </row>
    <row r="22" spans="4:10" x14ac:dyDescent="0.3">
      <c r="D22" s="13">
        <v>14</v>
      </c>
      <c r="E22" s="3">
        <f>LN('Closing Prices'!F21/'Closing Prices'!F20)</f>
        <v>3.5598860654008709E-3</v>
      </c>
      <c r="F22" s="3">
        <f>LN('Closing Prices'!G21/'Closing Prices'!G20)</f>
        <v>1.2299574406801303E-2</v>
      </c>
      <c r="G22" s="3">
        <f>LN('Closing Prices'!H21/'Closing Prices'!H20)</f>
        <v>9.417304992628548E-4</v>
      </c>
      <c r="H22" s="3">
        <f>LN('Closing Prices'!I21/'Closing Prices'!I20)</f>
        <v>-1.4251290767895355E-2</v>
      </c>
      <c r="I22" s="3">
        <f>LN('Closing Prices'!J21/'Closing Prices'!J20)</f>
        <v>9.2120478639865083E-3</v>
      </c>
      <c r="J22" s="4">
        <f>LN('Closing Prices'!K21/'Closing Prices'!K20)</f>
        <v>1.4386328966083611E-2</v>
      </c>
    </row>
    <row r="23" spans="4:10" x14ac:dyDescent="0.3">
      <c r="D23" s="13">
        <v>15</v>
      </c>
      <c r="E23" s="3">
        <f>LN('Closing Prices'!F22/'Closing Prices'!F21)</f>
        <v>1.8680046009910217E-2</v>
      </c>
      <c r="F23" s="3">
        <f>LN('Closing Prices'!G22/'Closing Prices'!G21)</f>
        <v>9.4503150764875272E-3</v>
      </c>
      <c r="G23" s="3">
        <f>LN('Closing Prices'!H22/'Closing Prices'!H21)</f>
        <v>6.4505002882277269E-3</v>
      </c>
      <c r="H23" s="3">
        <f>LN('Closing Prices'!I22/'Closing Prices'!I21)</f>
        <v>8.6520431573888952E-3</v>
      </c>
      <c r="I23" s="3">
        <f>LN('Closing Prices'!J22/'Closing Prices'!J21)</f>
        <v>-5.9173879578129146E-3</v>
      </c>
      <c r="J23" s="4">
        <f>LN('Closing Prices'!K22/'Closing Prices'!K21)</f>
        <v>1.2084149421134035E-2</v>
      </c>
    </row>
    <row r="24" spans="4:10" x14ac:dyDescent="0.3">
      <c r="D24" s="13">
        <v>16</v>
      </c>
      <c r="E24" s="3">
        <f>LN('Closing Prices'!F23/'Closing Prices'!F22)</f>
        <v>-3.1368101574426009E-3</v>
      </c>
      <c r="F24" s="3">
        <f>LN('Closing Prices'!G23/'Closing Prices'!G22)</f>
        <v>1.2147824812862418E-2</v>
      </c>
      <c r="G24" s="3">
        <f>LN('Closing Prices'!H23/'Closing Prices'!H22)</f>
        <v>6.9897768272019741E-3</v>
      </c>
      <c r="H24" s="3">
        <f>LN('Closing Prices'!I23/'Closing Prices'!I22)</f>
        <v>-8.4968841190639442E-3</v>
      </c>
      <c r="I24" s="3">
        <f>LN('Closing Prices'!J23/'Closing Prices'!J22)</f>
        <v>2.1434697480220064E-2</v>
      </c>
      <c r="J24" s="4">
        <f>LN('Closing Prices'!K23/'Closing Prices'!K22)</f>
        <v>-1.9081246198158995E-3</v>
      </c>
    </row>
    <row r="25" spans="4:10" x14ac:dyDescent="0.3">
      <c r="D25" s="13">
        <v>17</v>
      </c>
      <c r="E25" s="3">
        <f>LN('Closing Prices'!F24/'Closing Prices'!F23)</f>
        <v>-1.1273590838163722E-2</v>
      </c>
      <c r="F25" s="3">
        <f>LN('Closing Prices'!G24/'Closing Prices'!G23)</f>
        <v>9.9657562696271323E-3</v>
      </c>
      <c r="G25" s="3">
        <f>LN('Closing Prices'!H24/'Closing Prices'!H23)</f>
        <v>-2.194794984170248E-2</v>
      </c>
      <c r="H25" s="3">
        <f>LN('Closing Prices'!I24/'Closing Prices'!I23)</f>
        <v>7.7543428203186518E-4</v>
      </c>
      <c r="I25" s="3">
        <f>LN('Closing Prices'!J24/'Closing Prices'!J23)</f>
        <v>-5.6006722270487356E-4</v>
      </c>
      <c r="J25" s="4">
        <f>LN('Closing Prices'!K24/'Closing Prices'!K23)</f>
        <v>-4.247636363077515E-3</v>
      </c>
    </row>
    <row r="26" spans="4:10" x14ac:dyDescent="0.3">
      <c r="D26" s="13">
        <v>18</v>
      </c>
      <c r="E26" s="3">
        <f>LN('Closing Prices'!F25/'Closing Prices'!F24)</f>
        <v>1.0487848449796954E-2</v>
      </c>
      <c r="F26" s="3">
        <f>LN('Closing Prices'!G25/'Closing Prices'!G24)</f>
        <v>3.190146261975882E-3</v>
      </c>
      <c r="G26" s="3">
        <f>LN('Closing Prices'!H25/'Closing Prices'!H24)</f>
        <v>-1.1817505477548677E-2</v>
      </c>
      <c r="H26" s="3">
        <f>LN('Closing Prices'!I25/'Closing Prices'!I24)</f>
        <v>-1.1381476149224754E-2</v>
      </c>
      <c r="I26" s="3">
        <f>LN('Closing Prices'!J25/'Closing Prices'!J24)</f>
        <v>-6.0406168086471331E-3</v>
      </c>
      <c r="J26" s="4">
        <f>LN('Closing Prices'!K25/'Closing Prices'!K24)</f>
        <v>7.7090244795404647E-3</v>
      </c>
    </row>
    <row r="27" spans="4:10" x14ac:dyDescent="0.3">
      <c r="D27" s="13">
        <v>19</v>
      </c>
      <c r="E27" s="3">
        <f>LN('Closing Prices'!F26/'Closing Prices'!F25)</f>
        <v>-3.5076452442527567E-3</v>
      </c>
      <c r="F27" s="3">
        <f>LN('Closing Prices'!G26/'Closing Prices'!G25)</f>
        <v>1.428517831267774E-2</v>
      </c>
      <c r="G27" s="3">
        <f>LN('Closing Prices'!H26/'Closing Prices'!H25)</f>
        <v>2.3614268447244794E-2</v>
      </c>
      <c r="H27" s="3">
        <f>LN('Closing Prices'!I26/'Closing Prices'!I25)</f>
        <v>3.9959215534227828E-2</v>
      </c>
      <c r="I27" s="3">
        <f>LN('Closing Prices'!J26/'Closing Prices'!J25)</f>
        <v>-6.9992155367154018E-3</v>
      </c>
      <c r="J27" s="4">
        <f>LN('Closing Prices'!K26/'Closing Prices'!K25)</f>
        <v>-3.837466139990042E-3</v>
      </c>
    </row>
    <row r="28" spans="4:10" x14ac:dyDescent="0.3">
      <c r="D28" s="13">
        <v>20</v>
      </c>
      <c r="E28" s="3">
        <f>LN('Closing Prices'!F27/'Closing Prices'!F26)</f>
        <v>-4.0958631614579381E-3</v>
      </c>
      <c r="F28" s="3">
        <f>LN('Closing Prices'!G27/'Closing Prices'!G26)</f>
        <v>-1.2803574617499099E-2</v>
      </c>
      <c r="G28" s="3">
        <f>LN('Closing Prices'!H27/'Closing Prices'!H26)</f>
        <v>-4.4663920040818568E-3</v>
      </c>
      <c r="H28" s="3">
        <f>LN('Closing Prices'!I27/'Closing Prices'!I26)</f>
        <v>1.9174683790459526E-2</v>
      </c>
      <c r="I28" s="3">
        <f>LN('Closing Prices'!J27/'Closing Prices'!J26)</f>
        <v>2.2310452534889728E-2</v>
      </c>
      <c r="J28" s="4">
        <f>LN('Closing Prices'!K27/'Closing Prices'!K26)</f>
        <v>-4.1784117958297987E-3</v>
      </c>
    </row>
    <row r="29" spans="4:10" x14ac:dyDescent="0.3">
      <c r="D29" s="13">
        <v>21</v>
      </c>
      <c r="E29" s="3">
        <f>LN('Closing Prices'!F28/'Closing Prices'!F27)</f>
        <v>1.3872228178947153E-2</v>
      </c>
      <c r="F29" s="3">
        <f>LN('Closing Prices'!G28/'Closing Prices'!G27)</f>
        <v>4.104085215570482E-3</v>
      </c>
      <c r="G29" s="3">
        <f>LN('Closing Prices'!H28/'Closing Prices'!H27)</f>
        <v>2.7057248434578293E-3</v>
      </c>
      <c r="H29" s="3">
        <f>LN('Closing Prices'!I28/'Closing Prices'!I27)</f>
        <v>1.2703478836287118E-2</v>
      </c>
      <c r="I29" s="3">
        <f>LN('Closing Prices'!J28/'Closing Prices'!J27)</f>
        <v>-1.2778164999204681E-2</v>
      </c>
      <c r="J29" s="4">
        <f>LN('Closing Prices'!K28/'Closing Prices'!K27)</f>
        <v>1.4841596792638741E-2</v>
      </c>
    </row>
    <row r="30" spans="4:10" x14ac:dyDescent="0.3">
      <c r="D30" s="13">
        <v>22</v>
      </c>
      <c r="E30" s="3">
        <f>LN('Closing Prices'!F29/'Closing Prices'!F28)</f>
        <v>-4.9721207118741742E-4</v>
      </c>
      <c r="F30" s="3">
        <f>LN('Closing Prices'!G29/'Closing Prices'!G28)</f>
        <v>9.8897725051812317E-3</v>
      </c>
      <c r="G30" s="3">
        <f>LN('Closing Prices'!H29/'Closing Prices'!H28)</f>
        <v>-1.16988040306121E-2</v>
      </c>
      <c r="H30" s="3">
        <f>LN('Closing Prices'!I29/'Closing Prices'!I28)</f>
        <v>2.3321925883189052E-3</v>
      </c>
      <c r="I30" s="3">
        <f>LN('Closing Prices'!J29/'Closing Prices'!J28)</f>
        <v>9.8598749903487208E-3</v>
      </c>
      <c r="J30" s="4">
        <f>LN('Closing Prices'!K29/'Closing Prices'!K28)</f>
        <v>-4.4822834409335736E-3</v>
      </c>
    </row>
    <row r="31" spans="4:10" x14ac:dyDescent="0.3">
      <c r="D31" s="13">
        <v>23</v>
      </c>
      <c r="E31" s="3">
        <f>LN('Closing Prices'!F30/'Closing Prices'!F29)</f>
        <v>2.9087317872695676E-3</v>
      </c>
      <c r="F31" s="3">
        <f>LN('Closing Prices'!G30/'Closing Prices'!G29)</f>
        <v>1.0808474895725754E-3</v>
      </c>
      <c r="G31" s="3">
        <f>LN('Closing Prices'!H30/'Closing Prices'!H29)</f>
        <v>1.3224894600903947E-2</v>
      </c>
      <c r="H31" s="3">
        <f>LN('Closing Prices'!I30/'Closing Prices'!I29)</f>
        <v>1.2658854708913836E-2</v>
      </c>
      <c r="I31" s="3">
        <f>LN('Closing Prices'!J30/'Closing Prices'!J29)</f>
        <v>-1.2252052307859819E-2</v>
      </c>
      <c r="J31" s="4">
        <f>LN('Closing Prices'!K30/'Closing Prices'!K29)</f>
        <v>-2.8758328780641718E-3</v>
      </c>
    </row>
    <row r="32" spans="4:10" x14ac:dyDescent="0.3">
      <c r="D32" s="13">
        <v>24</v>
      </c>
      <c r="E32" s="3">
        <f>LN('Closing Prices'!F31/'Closing Prices'!F30)</f>
        <v>2.1229928007744469E-3</v>
      </c>
      <c r="F32" s="3">
        <f>LN('Closing Prices'!G31/'Closing Prices'!G30)</f>
        <v>1.0802052400455398E-4</v>
      </c>
      <c r="G32" s="3">
        <f>LN('Closing Prices'!H31/'Closing Prices'!H30)</f>
        <v>7.7121204863390335E-3</v>
      </c>
      <c r="H32" s="3">
        <f>LN('Closing Prices'!I31/'Closing Prices'!I30)</f>
        <v>-1.8572791559842549E-2</v>
      </c>
      <c r="I32" s="3">
        <f>LN('Closing Prices'!J31/'Closing Prices'!J30)</f>
        <v>2.0429506054335279E-2</v>
      </c>
      <c r="J32" s="4">
        <f>LN('Closing Prices'!K31/'Closing Prices'!K30)</f>
        <v>-6.8098139431197677E-3</v>
      </c>
    </row>
    <row r="33" spans="4:10" x14ac:dyDescent="0.3">
      <c r="D33" s="13">
        <v>25</v>
      </c>
      <c r="E33" s="3">
        <f>LN('Closing Prices'!F32/'Closing Prices'!F31)</f>
        <v>1.0827638652063393E-2</v>
      </c>
      <c r="F33" s="3">
        <f>LN('Closing Prices'!G32/'Closing Prices'!G31)</f>
        <v>-2.3939493792804911E-2</v>
      </c>
      <c r="G33" s="3">
        <f>LN('Closing Prices'!H32/'Closing Prices'!H31)</f>
        <v>-5.8217385355062337E-4</v>
      </c>
      <c r="H33" s="3">
        <f>LN('Closing Prices'!I32/'Closing Prices'!I31)</f>
        <v>2.5596971594795685E-3</v>
      </c>
      <c r="I33" s="3">
        <f>LN('Closing Prices'!J32/'Closing Prices'!J31)</f>
        <v>1.3573007933140159E-2</v>
      </c>
      <c r="J33" s="4">
        <f>LN('Closing Prices'!K32/'Closing Prices'!K31)</f>
        <v>1.4411072849527737E-2</v>
      </c>
    </row>
    <row r="34" spans="4:10" x14ac:dyDescent="0.3">
      <c r="D34" s="13">
        <v>26</v>
      </c>
      <c r="E34" s="3">
        <f>LN('Closing Prices'!F33/'Closing Prices'!F32)</f>
        <v>-1.6854529657182878E-2</v>
      </c>
      <c r="F34" s="3">
        <f>LN('Closing Prices'!G33/'Closing Prices'!G32)</f>
        <v>1.8306896578775843E-2</v>
      </c>
      <c r="G34" s="3">
        <f>LN('Closing Prices'!H33/'Closing Prices'!H32)</f>
        <v>-1.1653654739227286E-3</v>
      </c>
      <c r="H34" s="3">
        <f>LN('Closing Prices'!I33/'Closing Prices'!I32)</f>
        <v>1.2268311110138288E-2</v>
      </c>
      <c r="I34" s="3">
        <f>LN('Closing Prices'!J33/'Closing Prices'!J32)</f>
        <v>-6.9691454520406449E-3</v>
      </c>
      <c r="J34" s="4">
        <f>LN('Closing Prices'!K33/'Closing Prices'!K32)</f>
        <v>5.5444901769602754E-3</v>
      </c>
    </row>
    <row r="35" spans="4:10" x14ac:dyDescent="0.3">
      <c r="D35" s="13">
        <v>27</v>
      </c>
      <c r="E35" s="3">
        <f>LN('Closing Prices'!F34/'Closing Prices'!F33)</f>
        <v>2.8443433314139492E-4</v>
      </c>
      <c r="F35" s="3">
        <f>LN('Closing Prices'!G34/'Closing Prices'!G33)</f>
        <v>7.0358032297956601E-3</v>
      </c>
      <c r="G35" s="3">
        <f>LN('Closing Prices'!H34/'Closing Prices'!H33)</f>
        <v>-1.5156255583086529E-2</v>
      </c>
      <c r="H35" s="3">
        <f>LN('Closing Prices'!I34/'Closing Prices'!I33)</f>
        <v>6.0132182448692492E-2</v>
      </c>
      <c r="I35" s="3">
        <f>LN('Closing Prices'!J34/'Closing Prices'!J33)</f>
        <v>2.1232157560206882E-3</v>
      </c>
      <c r="J35" s="4">
        <f>LN('Closing Prices'!K34/'Closing Prices'!K33)</f>
        <v>-1.2327293259289482E-3</v>
      </c>
    </row>
    <row r="36" spans="4:10" x14ac:dyDescent="0.3">
      <c r="D36" s="13">
        <v>28</v>
      </c>
      <c r="E36" s="3">
        <f>LN('Closing Prices'!F35/'Closing Prices'!F34)</f>
        <v>-7.2784679817625405E-3</v>
      </c>
      <c r="F36" s="3">
        <f>LN('Closing Prices'!G35/'Closing Prices'!G34)</f>
        <v>5.7004725486653751E-3</v>
      </c>
      <c r="G36" s="3">
        <f>LN('Closing Prices'!H35/'Closing Prices'!H34)</f>
        <v>-3.2730631962042553E-2</v>
      </c>
      <c r="H36" s="3">
        <f>LN('Closing Prices'!I35/'Closing Prices'!I34)</f>
        <v>1.7443281616725526E-2</v>
      </c>
      <c r="I36" s="3">
        <f>LN('Closing Prices'!J35/'Closing Prices'!J34)</f>
        <v>-7.4165976550495949E-3</v>
      </c>
      <c r="J36" s="4">
        <f>LN('Closing Prices'!K35/'Closing Prices'!K34)</f>
        <v>-2.9660319633211252E-3</v>
      </c>
    </row>
    <row r="37" spans="4:10" x14ac:dyDescent="0.3">
      <c r="D37" s="13">
        <v>29</v>
      </c>
      <c r="E37" s="3">
        <f>LN('Closing Prices'!F36/'Closing Prices'!F35)</f>
        <v>6.9940336486211006E-3</v>
      </c>
      <c r="F37" s="3">
        <f>LN('Closing Prices'!G36/'Closing Prices'!G35)</f>
        <v>5.1881484544193624E-3</v>
      </c>
      <c r="G37" s="3">
        <f>LN('Closing Prices'!H36/'Closing Prices'!H35)</f>
        <v>8.768781067901351E-3</v>
      </c>
      <c r="H37" s="3">
        <f>LN('Closing Prices'!I36/'Closing Prices'!I35)</f>
        <v>-4.0066778499276773E-4</v>
      </c>
      <c r="I37" s="3">
        <f>LN('Closing Prices'!J36/'Closing Prices'!J35)</f>
        <v>-5.1136867705743249E-3</v>
      </c>
      <c r="J37" s="4">
        <f>LN('Closing Prices'!K36/'Closing Prices'!K35)</f>
        <v>-1.058642154414538E-2</v>
      </c>
    </row>
    <row r="38" spans="4:10" x14ac:dyDescent="0.3">
      <c r="D38" s="13">
        <v>30</v>
      </c>
      <c r="E38" s="3">
        <f>LN('Closing Prices'!F37/'Closing Prices'!F36)</f>
        <v>-6.8508082115385704E-3</v>
      </c>
      <c r="F38" s="3">
        <f>LN('Closing Prices'!G37/'Closing Prices'!G36)</f>
        <v>4.0993482487207264E-3</v>
      </c>
      <c r="G38" s="3">
        <f>LN('Closing Prices'!H37/'Closing Prices'!H36)</f>
        <v>8.3318721445480633E-3</v>
      </c>
      <c r="H38" s="3">
        <f>LN('Closing Prices'!I37/'Closing Prices'!I36)</f>
        <v>6.5905773953567511E-3</v>
      </c>
      <c r="I38" s="3">
        <f>LN('Closing Prices'!J37/'Closing Prices'!J36)</f>
        <v>9.2408077752252436E-3</v>
      </c>
      <c r="J38" s="4">
        <f>LN('Closing Prices'!K37/'Closing Prices'!K36)</f>
        <v>-9.520618406569911E-4</v>
      </c>
    </row>
    <row r="39" spans="4:10" x14ac:dyDescent="0.3">
      <c r="D39" s="13">
        <v>31</v>
      </c>
      <c r="E39" s="3">
        <f>LN('Closing Prices'!F38/'Closing Prices'!F37)</f>
        <v>8.4852018956661154E-3</v>
      </c>
      <c r="F39" s="3">
        <f>LN('Closing Prices'!G38/'Closing Prices'!G37)</f>
        <v>9.0967413841647245E-3</v>
      </c>
      <c r="G39" s="3">
        <f>LN('Closing Prices'!H38/'Closing Prices'!H37)</f>
        <v>-1.844712504816819E-2</v>
      </c>
      <c r="H39" s="3">
        <f>LN('Closing Prices'!I38/'Closing Prices'!I37)</f>
        <v>8.6546307063094779E-3</v>
      </c>
      <c r="I39" s="3">
        <f>LN('Closing Prices'!J38/'Closing Prices'!J37)</f>
        <v>-1.3615055333196987E-2</v>
      </c>
      <c r="J39" s="4">
        <f>LN('Closing Prices'!K38/'Closing Prices'!K37)</f>
        <v>5.25065295010981E-3</v>
      </c>
    </row>
    <row r="40" spans="4:10" x14ac:dyDescent="0.3">
      <c r="D40" s="13">
        <v>32</v>
      </c>
      <c r="E40" s="3">
        <f>LN('Closing Prices'!F39/'Closing Prices'!F38)</f>
        <v>-1.3366411788361199E-2</v>
      </c>
      <c r="F40" s="3">
        <f>LN('Closing Prices'!G39/'Closing Prices'!G38)</f>
        <v>3.5736846946732826E-3</v>
      </c>
      <c r="G40" s="3">
        <f>LN('Closing Prices'!H39/'Closing Prices'!H38)</f>
        <v>-2.330002893589912E-3</v>
      </c>
      <c r="H40" s="3">
        <f>LN('Closing Prices'!I39/'Closing Prices'!I38)</f>
        <v>1.0209512764503081E-2</v>
      </c>
      <c r="I40" s="3">
        <f>LN('Closing Prices'!J39/'Closing Prices'!J38)</f>
        <v>-3.3035718569073433E-2</v>
      </c>
      <c r="J40" s="4">
        <f>LN('Closing Prices'!K39/'Closing Prices'!K38)</f>
        <v>-3.7738504280903926E-3</v>
      </c>
    </row>
    <row r="41" spans="4:10" x14ac:dyDescent="0.3">
      <c r="D41" s="13">
        <v>33</v>
      </c>
      <c r="E41" s="3">
        <f>LN('Closing Prices'!F40/'Closing Prices'!F39)</f>
        <v>-2.6911377908165772E-2</v>
      </c>
      <c r="F41" s="3">
        <f>LN('Closing Prices'!G40/'Closing Prices'!G39)</f>
        <v>-4.6272035447489854E-3</v>
      </c>
      <c r="G41" s="3">
        <f>LN('Closing Prices'!H40/'Closing Prices'!H39)</f>
        <v>1.8399269220072951E-3</v>
      </c>
      <c r="H41" s="3">
        <f>LN('Closing Prices'!I40/'Closing Prices'!I39)</f>
        <v>7.5353638048761856E-2</v>
      </c>
      <c r="I41" s="3">
        <f>LN('Closing Prices'!J40/'Closing Prices'!J39)</f>
        <v>-3.1711578100763714E-2</v>
      </c>
      <c r="J41" s="4">
        <f>LN('Closing Prices'!K40/'Closing Prices'!K39)</f>
        <v>-2.6330672277871385E-2</v>
      </c>
    </row>
    <row r="42" spans="4:10" x14ac:dyDescent="0.3">
      <c r="D42" s="13">
        <v>34</v>
      </c>
      <c r="E42" s="3">
        <f>LN('Closing Prices'!F41/'Closing Prices'!F40)</f>
        <v>-1.3844657308955424E-2</v>
      </c>
      <c r="F42" s="3">
        <f>LN('Closing Prices'!G41/'Closing Prices'!G40)</f>
        <v>-2.1953140797484023E-2</v>
      </c>
      <c r="G42" s="3">
        <f>LN('Closing Prices'!H41/'Closing Prices'!H40)</f>
        <v>1.0726577738643122E-2</v>
      </c>
      <c r="H42" s="3">
        <f>LN('Closing Prices'!I41/'Closing Prices'!I40)</f>
        <v>-1.6193207068663538E-2</v>
      </c>
      <c r="I42" s="3">
        <f>LN('Closing Prices'!J41/'Closing Prices'!J40)</f>
        <v>3.5301215094772333E-2</v>
      </c>
      <c r="J42" s="4">
        <f>LN('Closing Prices'!K41/'Closing Prices'!K40)</f>
        <v>-9.9322463295635835E-3</v>
      </c>
    </row>
    <row r="43" spans="4:10" x14ac:dyDescent="0.3">
      <c r="D43" s="13">
        <v>35</v>
      </c>
      <c r="E43" s="3">
        <f>LN('Closing Prices'!F42/'Closing Prices'!F41)</f>
        <v>1.546959303838628E-2</v>
      </c>
      <c r="F43" s="3">
        <f>LN('Closing Prices'!G42/'Closing Prices'!G41)</f>
        <v>-6.4858080562515789E-3</v>
      </c>
      <c r="G43" s="3">
        <f>LN('Closing Prices'!H42/'Closing Prices'!H41)</f>
        <v>0</v>
      </c>
      <c r="H43" s="3">
        <f>LN('Closing Prices'!I42/'Closing Prices'!I41)</f>
        <v>1.5286999485125376E-2</v>
      </c>
      <c r="I43" s="3">
        <f>LN('Closing Prices'!J42/'Closing Prices'!J41)</f>
        <v>-3.1581995816933302E-3</v>
      </c>
      <c r="J43" s="4">
        <f>LN('Closing Prices'!K42/'Closing Prices'!K41)</f>
        <v>2.0494996307181667E-2</v>
      </c>
    </row>
    <row r="44" spans="4:10" x14ac:dyDescent="0.3">
      <c r="D44" s="13">
        <v>36</v>
      </c>
      <c r="E44" s="3">
        <f>LN('Closing Prices'!F43/'Closing Prices'!F42)</f>
        <v>2.0887343749212271E-2</v>
      </c>
      <c r="F44" s="3">
        <f>LN('Closing Prices'!G43/'Closing Prices'!G42)</f>
        <v>7.7241316322658651E-3</v>
      </c>
      <c r="G44" s="3">
        <f>LN('Closing Prices'!H43/'Closing Prices'!H42)</f>
        <v>-9.012361572573159E-3</v>
      </c>
      <c r="H44" s="3">
        <f>LN('Closing Prices'!I43/'Closing Prices'!I42)</f>
        <v>-8.1930362715759795E-3</v>
      </c>
      <c r="I44" s="3">
        <f>LN('Closing Prices'!J43/'Closing Prices'!J42)</f>
        <v>4.0893983882827369E-3</v>
      </c>
      <c r="J44" s="4">
        <f>LN('Closing Prices'!K43/'Closing Prices'!K42)</f>
        <v>2.3931997842135361E-3</v>
      </c>
    </row>
    <row r="45" spans="4:10" x14ac:dyDescent="0.3">
      <c r="D45" s="13">
        <v>37</v>
      </c>
      <c r="E45" s="3">
        <f>LN('Closing Prices'!F44/'Closing Prices'!F43)</f>
        <v>-1.1558301175508191E-2</v>
      </c>
      <c r="F45" s="3">
        <f>LN('Closing Prices'!G44/'Closing Prices'!G43)</f>
        <v>6.7033365367828567E-3</v>
      </c>
      <c r="G45" s="3">
        <f>LN('Closing Prices'!H44/'Closing Prices'!H43)</f>
        <v>3.3917863425851021E-2</v>
      </c>
      <c r="H45" s="3">
        <f>LN('Closing Prices'!I44/'Closing Prices'!I43)</f>
        <v>1.12105400699383E-2</v>
      </c>
      <c r="I45" s="3">
        <f>LN('Closing Prices'!J44/'Closing Prices'!J43)</f>
        <v>-1.1666558941516565E-2</v>
      </c>
      <c r="J45" s="4">
        <f>LN('Closing Prices'!K44/'Closing Prices'!K43)</f>
        <v>-2.2805520422484364E-3</v>
      </c>
    </row>
    <row r="46" spans="4:10" x14ac:dyDescent="0.3">
      <c r="D46" s="13">
        <v>38</v>
      </c>
      <c r="E46" s="3">
        <f>LN('Closing Prices'!F45/'Closing Prices'!F44)</f>
        <v>-4.6169148736543222E-3</v>
      </c>
      <c r="F46" s="3">
        <f>LN('Closing Prices'!G45/'Closing Prices'!G44)</f>
        <v>-2.9975399813264871E-3</v>
      </c>
      <c r="G46" s="3">
        <f>LN('Closing Prices'!H45/'Closing Prices'!H44)</f>
        <v>7.5400922732878602E-3</v>
      </c>
      <c r="H46" s="3">
        <f>LN('Closing Prices'!I45/'Closing Prices'!I44)</f>
        <v>4.2092665877650282E-3</v>
      </c>
      <c r="I46" s="3">
        <f>LN('Closing Prices'!J45/'Closing Prices'!J44)</f>
        <v>4.0482958490981342E-3</v>
      </c>
      <c r="J46" s="4">
        <f>LN('Closing Prices'!K45/'Closing Prices'!K44)</f>
        <v>-1.1452947382303206E-2</v>
      </c>
    </row>
    <row r="47" spans="4:10" x14ac:dyDescent="0.3">
      <c r="D47" s="13">
        <v>39</v>
      </c>
      <c r="E47" s="3">
        <f>LN('Closing Prices'!F46/'Closing Prices'!F45)</f>
        <v>-1.3309868181086938E-2</v>
      </c>
      <c r="F47" s="3">
        <f>LN('Closing Prices'!G46/'Closing Prices'!G45)</f>
        <v>-6.7774989140870906E-3</v>
      </c>
      <c r="G47" s="3">
        <f>LN('Closing Prices'!H46/'Closing Prices'!H45)</f>
        <v>-1.0382349042217801E-2</v>
      </c>
      <c r="H47" s="3">
        <f>LN('Closing Prices'!I46/'Closing Prices'!I45)</f>
        <v>9.6740274346066146E-3</v>
      </c>
      <c r="I47" s="3">
        <f>LN('Closing Prices'!J46/'Closing Prices'!J45)</f>
        <v>1.1762310177544017E-2</v>
      </c>
      <c r="J47" s="4">
        <f>LN('Closing Prices'!K46/'Closing Prices'!K45)</f>
        <v>-4.9664630386682864E-3</v>
      </c>
    </row>
    <row r="48" spans="4:10" x14ac:dyDescent="0.3">
      <c r="D48" s="13">
        <v>40</v>
      </c>
      <c r="E48" s="3">
        <f>LN('Closing Prices'!F47/'Closing Prices'!F46)</f>
        <v>1.561977334196198E-3</v>
      </c>
      <c r="F48" s="3">
        <f>LN('Closing Prices'!G47/'Closing Prices'!G46)</f>
        <v>-1.118057779756783E-2</v>
      </c>
      <c r="G48" s="3">
        <f>LN('Closing Prices'!H47/'Closing Prices'!H46)</f>
        <v>5.2046486070460429E-3</v>
      </c>
      <c r="H48" s="3">
        <f>LN('Closing Prices'!I47/'Closing Prices'!I46)</f>
        <v>-7.0970925593807624E-3</v>
      </c>
      <c r="I48" s="3">
        <f>LN('Closing Prices'!J47/'Closing Prices'!J46)</f>
        <v>1.4962063280686722E-3</v>
      </c>
      <c r="J48" s="4">
        <f>LN('Closing Prices'!K47/'Closing Prices'!K46)</f>
        <v>1.3236563416728306E-2</v>
      </c>
    </row>
    <row r="49" spans="4:10" x14ac:dyDescent="0.3">
      <c r="D49" s="13">
        <v>41</v>
      </c>
      <c r="E49" s="3">
        <f>LN('Closing Prices'!F48/'Closing Prices'!F47)</f>
        <v>2.5978860407954779E-3</v>
      </c>
      <c r="F49" s="3">
        <f>LN('Closing Prices'!G48/'Closing Prices'!G47)</f>
        <v>2.8340982562577088E-3</v>
      </c>
      <c r="G49" s="3">
        <f>LN('Closing Prices'!H48/'Closing Prices'!H47)</f>
        <v>7.288147929717605E-3</v>
      </c>
      <c r="H49" s="3">
        <f>LN('Closing Prices'!I48/'Closing Prices'!I47)</f>
        <v>-4.3787371644887947E-3</v>
      </c>
      <c r="I49" s="3">
        <f>LN('Closing Prices'!J48/'Closing Prices'!J47)</f>
        <v>-7.5752524044507734E-3</v>
      </c>
      <c r="J49" s="4">
        <f>LN('Closing Prices'!K48/'Closing Prices'!K47)</f>
        <v>-7.5735628858206519E-3</v>
      </c>
    </row>
    <row r="50" spans="4:10" x14ac:dyDescent="0.3">
      <c r="D50" s="13">
        <v>42</v>
      </c>
      <c r="E50" s="3">
        <f>LN('Closing Prices'!F49/'Closing Prices'!F48)</f>
        <v>1.9671802884157884E-2</v>
      </c>
      <c r="F50" s="3">
        <f>LN('Closing Prices'!G49/'Closing Prices'!G48)</f>
        <v>1.7944052013101779E-3</v>
      </c>
      <c r="G50" s="3">
        <f>LN('Closing Prices'!H49/'Closing Prices'!H48)</f>
        <v>-2.0590006769383183E-2</v>
      </c>
      <c r="H50" s="3">
        <f>LN('Closing Prices'!I49/'Closing Prices'!I48)</f>
        <v>-5.4854111444214079E-3</v>
      </c>
      <c r="I50" s="3">
        <f>LN('Closing Prices'!J49/'Closing Prices'!J48)</f>
        <v>1.3962329685017318E-2</v>
      </c>
      <c r="J50" s="4">
        <f>LN('Closing Prices'!K49/'Closing Prices'!K48)</f>
        <v>4.8709408740853378E-3</v>
      </c>
    </row>
    <row r="51" spans="4:10" x14ac:dyDescent="0.3">
      <c r="D51" s="13">
        <v>43</v>
      </c>
      <c r="E51" s="3">
        <f>LN('Closing Prices'!F50/'Closing Prices'!F49)</f>
        <v>3.4828071774614566E-3</v>
      </c>
      <c r="F51" s="3">
        <f>LN('Closing Prices'!G50/'Closing Prices'!G49)</f>
        <v>1.1720044498442274E-2</v>
      </c>
      <c r="G51" s="3">
        <f>LN('Closing Prices'!H50/'Closing Prices'!H49)</f>
        <v>6.6730466878483436E-3</v>
      </c>
      <c r="H51" s="3">
        <f>LN('Closing Prices'!I50/'Closing Prices'!I49)</f>
        <v>2.7163267841193747E-3</v>
      </c>
      <c r="I51" s="3">
        <f>LN('Closing Prices'!J50/'Closing Prices'!J49)</f>
        <v>3.0857402105289648E-2</v>
      </c>
      <c r="J51" s="4">
        <f>LN('Closing Prices'!K50/'Closing Prices'!K49)</f>
        <v>1.8441641455973559E-2</v>
      </c>
    </row>
    <row r="52" spans="4:10" x14ac:dyDescent="0.3">
      <c r="D52" s="13">
        <v>44</v>
      </c>
      <c r="E52" s="3">
        <f>LN('Closing Prices'!F51/'Closing Prices'!F50)</f>
        <v>2.1638732092521824E-2</v>
      </c>
      <c r="F52" s="3">
        <f>LN('Closing Prices'!G51/'Closing Prices'!G50)</f>
        <v>-3.5501086180398512E-3</v>
      </c>
      <c r="G52" s="3">
        <f>LN('Closing Prices'!H51/'Closing Prices'!H50)</f>
        <v>1.6224643379016976</v>
      </c>
      <c r="H52" s="3">
        <f>LN('Closing Prices'!I51/'Closing Prices'!I50)</f>
        <v>1.3353092032732144E-2</v>
      </c>
      <c r="I52" s="3">
        <f>LN('Closing Prices'!J51/'Closing Prices'!J50)</f>
        <v>6.1713582374888333E-4</v>
      </c>
      <c r="J52" s="4">
        <f>LN('Closing Prices'!K51/'Closing Prices'!K50)</f>
        <v>4.7610956994719629E-3</v>
      </c>
    </row>
    <row r="53" spans="4:10" x14ac:dyDescent="0.3">
      <c r="D53" s="13">
        <v>45</v>
      </c>
      <c r="E53" s="3">
        <f>LN('Closing Prices'!F52/'Closing Prices'!F51)</f>
        <v>5.3725563981013866E-3</v>
      </c>
      <c r="F53" s="3">
        <f>LN('Closing Prices'!G52/'Closing Prices'!G51)</f>
        <v>3.4427145353505481E-3</v>
      </c>
      <c r="G53" s="3">
        <f>LN('Closing Prices'!H52/'Closing Prices'!H51)</f>
        <v>3.2818397350296467E-4</v>
      </c>
      <c r="H53" s="3">
        <f>LN('Closing Prices'!I52/'Closing Prices'!I51)</f>
        <v>5.1023545877827182E-3</v>
      </c>
      <c r="I53" s="3">
        <f>LN('Closing Prices'!J52/'Closing Prices'!J51)</f>
        <v>-4.1214510874962662E-3</v>
      </c>
      <c r="J53" s="4">
        <f>LN('Closing Prices'!K52/'Closing Prices'!K51)</f>
        <v>-4.0246033700434559E-4</v>
      </c>
    </row>
    <row r="54" spans="4:10" x14ac:dyDescent="0.3">
      <c r="D54" s="13">
        <v>46</v>
      </c>
      <c r="E54" s="3">
        <f>LN('Closing Prices'!F53/'Closing Prices'!F52)</f>
        <v>1.3028131319026822E-2</v>
      </c>
      <c r="F54" s="3">
        <f>LN('Closing Prices'!G53/'Closing Prices'!G52)</f>
        <v>-6.0865771917584391E-3</v>
      </c>
      <c r="G54" s="3">
        <f>LN('Closing Prices'!H53/'Closing Prices'!H52)</f>
        <v>-3.0515739273985275E-3</v>
      </c>
      <c r="H54" s="3">
        <f>LN('Closing Prices'!I53/'Closing Prices'!I52)</f>
        <v>-5.4731557304022981E-2</v>
      </c>
      <c r="I54" s="3">
        <f>LN('Closing Prices'!J53/'Closing Prices'!J52)</f>
        <v>2.0709186964561855E-2</v>
      </c>
      <c r="J54" s="4">
        <f>LN('Closing Prices'!K53/'Closing Prices'!K52)</f>
        <v>2.0444453980696177E-4</v>
      </c>
    </row>
    <row r="55" spans="4:10" x14ac:dyDescent="0.3">
      <c r="D55" s="13">
        <v>47</v>
      </c>
      <c r="E55" s="3">
        <f>LN('Closing Prices'!F54/'Closing Prices'!F53)</f>
        <v>-1.6771734490324448E-2</v>
      </c>
      <c r="F55" s="3">
        <f>LN('Closing Prices'!G54/'Closing Prices'!G53)</f>
        <v>1.2776639340474771E-2</v>
      </c>
      <c r="G55" s="3">
        <f>LN('Closing Prices'!H54/'Closing Prices'!H53)</f>
        <v>2.9109368411670013E-3</v>
      </c>
      <c r="H55" s="3">
        <f>LN('Closing Prices'!I54/'Closing Prices'!I53)</f>
        <v>-5.0018758076722069E-4</v>
      </c>
      <c r="I55" s="3">
        <f>LN('Closing Prices'!J54/'Closing Prices'!J53)</f>
        <v>-5.340556888069517E-3</v>
      </c>
      <c r="J55" s="4">
        <f>LN('Closing Prices'!K54/'Closing Prices'!K53)</f>
        <v>1.2683254486408448E-3</v>
      </c>
    </row>
    <row r="56" spans="4:10" x14ac:dyDescent="0.3">
      <c r="D56" s="13">
        <v>48</v>
      </c>
      <c r="E56" s="3">
        <f>LN('Closing Prices'!F55/'Closing Prices'!F54)</f>
        <v>-6.2469146145658263E-3</v>
      </c>
      <c r="F56" s="3">
        <f>LN('Closing Prices'!G55/'Closing Prices'!G54)</f>
        <v>-4.2682602152552723E-4</v>
      </c>
      <c r="G56" s="3">
        <f>LN('Closing Prices'!H55/'Closing Prices'!H54)</f>
        <v>5.1438037193420249E-3</v>
      </c>
      <c r="H56" s="3">
        <f>LN('Closing Prices'!I55/'Closing Prices'!I54)</f>
        <v>-1.9405934288134682E-3</v>
      </c>
      <c r="I56" s="3">
        <f>LN('Closing Prices'!J55/'Closing Prices'!J54)</f>
        <v>-3.1908781613993868E-3</v>
      </c>
      <c r="J56" s="4">
        <f>LN('Closing Prices'!K55/'Closing Prices'!K54)</f>
        <v>-1.834909769838602E-3</v>
      </c>
    </row>
    <row r="57" spans="4:10" x14ac:dyDescent="0.3">
      <c r="D57" s="13">
        <v>49</v>
      </c>
      <c r="E57" s="3">
        <f>LN('Closing Prices'!F56/'Closing Prices'!F55)</f>
        <v>2.1625891219587016E-2</v>
      </c>
      <c r="F57" s="3">
        <f>LN('Closing Prices'!G56/'Closing Prices'!G55)</f>
        <v>2.1855601865879764E-3</v>
      </c>
      <c r="G57" s="3">
        <f>LN('Closing Prices'!H56/'Closing Prices'!H55)</f>
        <v>1.1187769207218849E-3</v>
      </c>
      <c r="H57" s="3">
        <f>LN('Closing Prices'!I56/'Closing Prices'!I55)</f>
        <v>1.1339685374093059E-2</v>
      </c>
      <c r="I57" s="3">
        <f>LN('Closing Prices'!J56/'Closing Prices'!J55)</f>
        <v>2.2590714630180982E-2</v>
      </c>
      <c r="J57" s="4">
        <f>LN('Closing Prices'!K56/'Closing Prices'!K55)</f>
        <v>9.0249395897514691E-3</v>
      </c>
    </row>
    <row r="58" spans="4:10" x14ac:dyDescent="0.3">
      <c r="D58" s="13">
        <v>50</v>
      </c>
      <c r="E58" s="3">
        <f>LN('Closing Prices'!F57/'Closing Prices'!F56)</f>
        <v>-5.1000913985470376E-3</v>
      </c>
      <c r="F58" s="3">
        <f>LN('Closing Prices'!G57/'Closing Prices'!G56)</f>
        <v>8.1667739265827294E-3</v>
      </c>
      <c r="G58" s="3">
        <f>LN('Closing Prices'!H57/'Closing Prices'!H56)</f>
        <v>2.0520398182759352E-2</v>
      </c>
      <c r="H58" s="3">
        <f>LN('Closing Prices'!I57/'Closing Prices'!I56)</f>
        <v>-4.9575510713565903E-4</v>
      </c>
      <c r="I58" s="3">
        <f>LN('Closing Prices'!J57/'Closing Prices'!J56)</f>
        <v>2.2577870006776466E-3</v>
      </c>
      <c r="J58" s="4">
        <f>LN('Closing Prices'!K57/'Closing Prices'!K56)</f>
        <v>1.4110224943603427E-2</v>
      </c>
    </row>
    <row r="59" spans="4:10" x14ac:dyDescent="0.3">
      <c r="D59" s="13">
        <v>51</v>
      </c>
      <c r="E59" s="3">
        <f>LN('Closing Prices'!F58/'Closing Prices'!F57)</f>
        <v>-1.1624351542647572E-2</v>
      </c>
      <c r="F59" s="3">
        <f>LN('Closing Prices'!G58/'Closing Prices'!G57)</f>
        <v>2.4792311261574245E-3</v>
      </c>
      <c r="G59" s="3">
        <f>LN('Closing Prices'!H58/'Closing Prices'!H57)</f>
        <v>1.9151852639201731E-3</v>
      </c>
      <c r="H59" s="3">
        <f>LN('Closing Prices'!I58/'Closing Prices'!I57)</f>
        <v>1.5804529071731552E-2</v>
      </c>
      <c r="I59" s="3">
        <f>LN('Closing Prices'!J58/'Closing Prices'!J57)</f>
        <v>4.570260936110674E-2</v>
      </c>
      <c r="J59" s="4">
        <f>LN('Closing Prices'!K58/'Closing Prices'!K57)</f>
        <v>-2.5402325073967108E-4</v>
      </c>
    </row>
    <row r="60" spans="4:10" x14ac:dyDescent="0.3">
      <c r="D60" s="13">
        <v>52</v>
      </c>
      <c r="E60" s="3">
        <f>LN('Closing Prices'!F59/'Closing Prices'!F58)</f>
        <v>-2.8535374874868978E-2</v>
      </c>
      <c r="F60" s="3">
        <f>LN('Closing Prices'!G59/'Closing Prices'!G58)</f>
        <v>1.3760845004350332E-2</v>
      </c>
      <c r="G60" s="3">
        <f>LN('Closing Prices'!H59/'Closing Prices'!H58)</f>
        <v>1.0288109961021578E-2</v>
      </c>
      <c r="H60" s="3">
        <f>LN('Closing Prices'!I59/'Closing Prices'!I58)</f>
        <v>-1.648659389432907E-2</v>
      </c>
      <c r="I60" s="3">
        <f>LN('Closing Prices'!J59/'Closing Prices'!J58)</f>
        <v>8.9579201082933355E-3</v>
      </c>
      <c r="J60" s="4">
        <f>LN('Closing Prices'!K59/'Closing Prices'!K58)</f>
        <v>1.995051520964658E-3</v>
      </c>
    </row>
    <row r="61" spans="4:10" x14ac:dyDescent="0.3">
      <c r="D61" s="13">
        <v>53</v>
      </c>
      <c r="E61" s="3">
        <f>LN('Closing Prices'!F60/'Closing Prices'!F59)</f>
        <v>-1.1808417675645286E-2</v>
      </c>
      <c r="F61" s="3">
        <f>LN('Closing Prices'!G60/'Closing Prices'!G59)</f>
        <v>1.57759625941674E-2</v>
      </c>
      <c r="G61" s="3">
        <f>LN('Closing Prices'!H60/'Closing Prices'!H59)</f>
        <v>-7.5584781310573165E-3</v>
      </c>
      <c r="H61" s="3">
        <f>LN('Closing Prices'!I60/'Closing Prices'!I59)</f>
        <v>-3.6040553520904498E-3</v>
      </c>
      <c r="I61" s="3">
        <f>LN('Closing Prices'!J60/'Closing Prices'!J59)</f>
        <v>-1.0543359765629571E-2</v>
      </c>
      <c r="J61" s="4">
        <f>LN('Closing Prices'!K60/'Closing Prices'!K59)</f>
        <v>1.6840596660956748E-3</v>
      </c>
    </row>
    <row r="62" spans="4:10" x14ac:dyDescent="0.3">
      <c r="D62" s="13">
        <v>54</v>
      </c>
      <c r="E62" s="3">
        <f>LN('Closing Prices'!F61/'Closing Prices'!F60)</f>
        <v>-1.2920652013838853E-2</v>
      </c>
      <c r="F62" s="3">
        <f>LN('Closing Prices'!G61/'Closing Prices'!G60)</f>
        <v>2.4355708486313236E-2</v>
      </c>
      <c r="G62" s="3">
        <f>LN('Closing Prices'!H61/'Closing Prices'!H60)</f>
        <v>-2.2234367187657273E-2</v>
      </c>
      <c r="H62" s="3">
        <f>LN('Closing Prices'!I61/'Closing Prices'!I60)</f>
        <v>2.0944464020494054E-2</v>
      </c>
      <c r="I62" s="3">
        <f>LN('Closing Prices'!J61/'Closing Prices'!J60)</f>
        <v>-3.3057881344994329E-3</v>
      </c>
      <c r="J62" s="4">
        <f>LN('Closing Prices'!K61/'Closing Prices'!K60)</f>
        <v>-7.8923851438254897E-3</v>
      </c>
    </row>
    <row r="63" spans="4:10" x14ac:dyDescent="0.3">
      <c r="D63" s="13">
        <v>55</v>
      </c>
      <c r="E63" s="3">
        <f>LN('Closing Prices'!F62/'Closing Prices'!F61)</f>
        <v>3.6554928989558978E-3</v>
      </c>
      <c r="F63" s="3">
        <f>LN('Closing Prices'!G62/'Closing Prices'!G61)</f>
        <v>-1.048811520961419E-2</v>
      </c>
      <c r="G63" s="3">
        <f>LN('Closing Prices'!H62/'Closing Prices'!H61)</f>
        <v>2.7369951908448875E-3</v>
      </c>
      <c r="H63" s="3">
        <f>LN('Closing Prices'!I62/'Closing Prices'!I61)</f>
        <v>-6.4828066317848543E-3</v>
      </c>
      <c r="I63" s="3">
        <f>LN('Closing Prices'!J62/'Closing Prices'!J61)</f>
        <v>-1.9677826118302169E-2</v>
      </c>
      <c r="J63" s="4">
        <f>LN('Closing Prices'!K62/'Closing Prices'!K61)</f>
        <v>-1.5905874084760122E-3</v>
      </c>
    </row>
    <row r="64" spans="4:10" x14ac:dyDescent="0.3">
      <c r="D64" s="13">
        <v>56</v>
      </c>
      <c r="E64" s="3">
        <f>LN('Closing Prices'!F63/'Closing Prices'!F62)</f>
        <v>-2.9790720410986473E-4</v>
      </c>
      <c r="F64" s="3">
        <f>LN('Closing Prices'!G63/'Closing Prices'!G62)</f>
        <v>5.0445178712778187E-5</v>
      </c>
      <c r="G64" s="3">
        <f>LN('Closing Prices'!H63/'Closing Prices'!H62)</f>
        <v>2.5909147463023469E-3</v>
      </c>
      <c r="H64" s="3">
        <f>LN('Closing Prices'!I63/'Closing Prices'!I62)</f>
        <v>-8.8747038779233445E-3</v>
      </c>
      <c r="I64" s="3">
        <f>LN('Closing Prices'!J63/'Closing Prices'!J62)</f>
        <v>3.7596466143042951E-3</v>
      </c>
      <c r="J64" s="4">
        <f>LN('Closing Prices'!K63/'Closing Prices'!K62)</f>
        <v>-8.5296481516494507E-3</v>
      </c>
    </row>
    <row r="65" spans="4:10" x14ac:dyDescent="0.3">
      <c r="D65" s="13">
        <v>57</v>
      </c>
      <c r="E65" s="3">
        <f>LN('Closing Prices'!F64/'Closing Prices'!F63)</f>
        <v>5.9572568594764544E-4</v>
      </c>
      <c r="F65" s="3">
        <f>LN('Closing Prices'!G64/'Closing Prices'!G63)</f>
        <v>-3.0270925007906051E-4</v>
      </c>
      <c r="G65" s="3">
        <f>LN('Closing Prices'!H64/'Closing Prices'!H63)</f>
        <v>-2.3105894416440079E-4</v>
      </c>
      <c r="H65" s="3">
        <f>LN('Closing Prices'!I64/'Closing Prices'!I63)</f>
        <v>3.8307121295941531E-3</v>
      </c>
      <c r="I65" s="3">
        <f>LN('Closing Prices'!J64/'Closing Prices'!J63)</f>
        <v>8.7606847350975119E-3</v>
      </c>
      <c r="J65" s="4">
        <f>LN('Closing Prices'!K64/'Closing Prices'!K63)</f>
        <v>5.6176336034868845E-4</v>
      </c>
    </row>
    <row r="66" spans="4:10" x14ac:dyDescent="0.3">
      <c r="D66" s="13">
        <v>58</v>
      </c>
      <c r="E66" s="3">
        <f>LN('Closing Prices'!F65/'Closing Prices'!F64)</f>
        <v>5.2715717727251374E-3</v>
      </c>
      <c r="F66" s="3">
        <f>LN('Closing Prices'!G65/'Closing Prices'!G64)</f>
        <v>8.0702112722572399E-4</v>
      </c>
      <c r="G66" s="3">
        <f>LN('Closing Prices'!H65/'Closing Prices'!H64)</f>
        <v>-4.6227811474130451E-4</v>
      </c>
      <c r="H66" s="3">
        <f>LN('Closing Prices'!I65/'Closing Prices'!I64)</f>
        <v>1.4144680609433243E-2</v>
      </c>
      <c r="I66" s="3">
        <f>LN('Closing Prices'!J65/'Closing Prices'!J64)</f>
        <v>-6.415602965933187E-4</v>
      </c>
      <c r="J66" s="4">
        <f>LN('Closing Prices'!K65/'Closing Prices'!K64)</f>
        <v>4.1359157273560708E-3</v>
      </c>
    </row>
    <row r="67" spans="4:10" x14ac:dyDescent="0.3">
      <c r="D67" s="13">
        <v>59</v>
      </c>
      <c r="E67" s="3">
        <f>LN('Closing Prices'!F66/'Closing Prices'!F65)</f>
        <v>6.9367852506664416E-3</v>
      </c>
      <c r="F67" s="3">
        <f>LN('Closing Prices'!G66/'Closing Prices'!G65)</f>
        <v>4.0326646377735322E-4</v>
      </c>
      <c r="G67" s="3">
        <f>LN('Closing Prices'!H66/'Closing Prices'!H65)</f>
        <v>-6.0291435765526414E-3</v>
      </c>
      <c r="H67" s="3">
        <f>LN('Closing Prices'!I66/'Closing Prices'!I65)</f>
        <v>6.9074438482218115E-3</v>
      </c>
      <c r="I67" s="3">
        <f>LN('Closing Prices'!J66/'Closing Prices'!J65)</f>
        <v>7.990070952228855E-3</v>
      </c>
      <c r="J67" s="4">
        <f>LN('Closing Prices'!K66/'Closing Prices'!K65)</f>
        <v>2.9392952161670627E-3</v>
      </c>
    </row>
    <row r="68" spans="4:10" x14ac:dyDescent="0.3">
      <c r="D68" s="13">
        <v>60</v>
      </c>
      <c r="E68" s="3">
        <f>LN('Closing Prices'!F67/'Closing Prices'!F66)</f>
        <v>2.3505226041732967E-3</v>
      </c>
      <c r="F68" s="3">
        <f>LN('Closing Prices'!G67/'Closing Prices'!G66)</f>
        <v>5.1274429935460478E-3</v>
      </c>
      <c r="G68" s="3">
        <f>LN('Closing Prices'!H67/'Closing Prices'!H66)</f>
        <v>4.5484158986659612E-3</v>
      </c>
      <c r="H68" s="3">
        <f>LN('Closing Prices'!I67/'Closing Prices'!I66)</f>
        <v>4.3982598391420656E-3</v>
      </c>
      <c r="I68" s="3">
        <f>LN('Closing Prices'!J67/'Closing Prices'!J66)</f>
        <v>2.987828420237231E-3</v>
      </c>
      <c r="J68" s="4">
        <f>LN('Closing Prices'!K67/'Closing Prices'!K66)</f>
        <v>1.8808100146170076E-3</v>
      </c>
    </row>
    <row r="69" spans="4:10" x14ac:dyDescent="0.3">
      <c r="D69" s="13">
        <v>61</v>
      </c>
      <c r="E69" s="3">
        <f>LN('Closing Prices'!F68/'Closing Prices'!F67)</f>
        <v>4.0270967842011493E-3</v>
      </c>
      <c r="F69" s="3">
        <f>LN('Closing Prices'!G68/'Closing Prices'!G67)</f>
        <v>-6.0186580209867343E-4</v>
      </c>
      <c r="G69" s="3">
        <f>LN('Closing Prices'!H68/'Closing Prices'!H67)</f>
        <v>2.3588734602902456E-3</v>
      </c>
      <c r="H69" s="3">
        <f>LN('Closing Prices'!I68/'Closing Prices'!I67)</f>
        <v>2.9414434270407372E-3</v>
      </c>
      <c r="I69" s="3">
        <f>LN('Closing Prices'!J68/'Closing Prices'!J67)</f>
        <v>-6.5594885727673566E-3</v>
      </c>
      <c r="J69" s="4">
        <f>LN('Closing Prices'!K68/'Closing Prices'!K67)</f>
        <v>-1.151523907256987E-3</v>
      </c>
    </row>
    <row r="70" spans="4:10" x14ac:dyDescent="0.3">
      <c r="D70" s="13">
        <v>62</v>
      </c>
      <c r="E70" s="3">
        <f>LN('Closing Prices'!F69/'Closing Prices'!F68)</f>
        <v>-1.0578222491955442E-2</v>
      </c>
      <c r="F70" s="3">
        <f>LN('Closing Prices'!G69/'Closing Prices'!G68)</f>
        <v>-8.9704779332225298E-3</v>
      </c>
      <c r="G70" s="3">
        <f>LN('Closing Prices'!H69/'Closing Prices'!H68)</f>
        <v>3.9651488163219362E-3</v>
      </c>
      <c r="H70" s="3">
        <f>LN('Closing Prices'!I69/'Closing Prices'!I68)</f>
        <v>1.2686670650314303E-2</v>
      </c>
      <c r="I70" s="3">
        <f>LN('Closing Prices'!J69/'Closing Prices'!J68)</f>
        <v>-1.3314234306375345E-2</v>
      </c>
      <c r="J70" s="4">
        <f>LN('Closing Prices'!K69/'Closing Prices'!K68)</f>
        <v>-7.9966437417475326E-3</v>
      </c>
    </row>
    <row r="71" spans="4:10" x14ac:dyDescent="0.3">
      <c r="D71" s="13">
        <v>63</v>
      </c>
      <c r="E71" s="3">
        <f>LN('Closing Prices'!F70/'Closing Prices'!F69)</f>
        <v>1.9919590488603036E-3</v>
      </c>
      <c r="F71" s="3">
        <f>LN('Closing Prices'!G70/'Closing Prices'!G69)</f>
        <v>-2.2298813213067299E-3</v>
      </c>
      <c r="G71" s="3">
        <f>LN('Closing Prices'!H70/'Closing Prices'!H69)</f>
        <v>4.2244529717750303E-3</v>
      </c>
      <c r="H71" s="3">
        <f>LN('Closing Prices'!I70/'Closing Prices'!I69)</f>
        <v>-3.0588569959763858E-2</v>
      </c>
      <c r="I71" s="3">
        <f>LN('Closing Prices'!J70/'Closing Prices'!J69)</f>
        <v>0</v>
      </c>
      <c r="J71" s="4">
        <f>LN('Closing Prices'!K70/'Closing Prices'!K69)</f>
        <v>-7.8886882328572661E-3</v>
      </c>
    </row>
    <row r="72" spans="4:10" x14ac:dyDescent="0.3">
      <c r="D72" s="13">
        <v>64</v>
      </c>
      <c r="E72" s="3">
        <f>LN('Closing Prices'!F71/'Closing Prices'!F70)</f>
        <v>-3.2481942039075825E-3</v>
      </c>
      <c r="F72" s="3">
        <f>LN('Closing Prices'!G71/'Closing Prices'!G70)</f>
        <v>-5.9027242421782599E-3</v>
      </c>
      <c r="G72" s="3">
        <f>LN('Closing Prices'!H71/'Closing Prices'!H70)</f>
        <v>-5.0415932502211091E-4</v>
      </c>
      <c r="H72" s="3">
        <f>LN('Closing Prices'!I71/'Closing Prices'!I70)</f>
        <v>-7.2883495191089801E-3</v>
      </c>
      <c r="I72" s="3">
        <f>LN('Closing Prices'!J71/'Closing Prices'!J70)</f>
        <v>-1.3606766605126813E-3</v>
      </c>
      <c r="J72" s="4">
        <f>LN('Closing Prices'!K71/'Closing Prices'!K70)</f>
        <v>1.9366832338433865E-4</v>
      </c>
    </row>
    <row r="73" spans="4:10" x14ac:dyDescent="0.3">
      <c r="D73" s="13">
        <v>65</v>
      </c>
      <c r="E73" s="3">
        <f>LN('Closing Prices'!F72/'Closing Prices'!F71)</f>
        <v>1.0005969297004485E-2</v>
      </c>
      <c r="F73" s="3">
        <f>LN('Closing Prices'!G72/'Closing Prices'!G71)</f>
        <v>4.3794947016567902E-3</v>
      </c>
      <c r="G73" s="3">
        <f>LN('Closing Prices'!H72/'Closing Prices'!H71)</f>
        <v>-2.1570030621597155E-3</v>
      </c>
      <c r="H73" s="3">
        <f>LN('Closing Prices'!I72/'Closing Prices'!I71)</f>
        <v>-1.5362046404764927E-2</v>
      </c>
      <c r="I73" s="3">
        <f>LN('Closing Prices'!J72/'Closing Prices'!J71)</f>
        <v>8.9721434532611336E-3</v>
      </c>
      <c r="J73" s="4">
        <f>LN('Closing Prices'!K72/'Closing Prices'!K71)</f>
        <v>3.1487590340057909E-3</v>
      </c>
    </row>
    <row r="74" spans="4:10" x14ac:dyDescent="0.3">
      <c r="D74" s="13">
        <v>66</v>
      </c>
      <c r="E74" s="3">
        <f>LN('Closing Prices'!F73/'Closing Prices'!F72)</f>
        <v>-5.8582309818336353E-4</v>
      </c>
      <c r="F74" s="3">
        <f>LN('Closing Prices'!G73/'Closing Prices'!G72)</f>
        <v>1.0413074933774503E-2</v>
      </c>
      <c r="G74" s="3">
        <f>LN('Closing Prices'!H73/'Closing Prices'!H72)</f>
        <v>1.6525894322969128E-3</v>
      </c>
      <c r="H74" s="3">
        <f>LN('Closing Prices'!I73/'Closing Prices'!I72)</f>
        <v>-5.6965943277118821E-3</v>
      </c>
      <c r="I74" s="3">
        <f>LN('Closing Prices'!J73/'Closing Prices'!J72)</f>
        <v>1.9275869883310156E-4</v>
      </c>
      <c r="J74" s="4">
        <f>LN('Closing Prices'!K73/'Closing Prices'!K72)</f>
        <v>6.5566934368467252E-3</v>
      </c>
    </row>
    <row r="75" spans="4:10" x14ac:dyDescent="0.3">
      <c r="D75" s="13">
        <v>67</v>
      </c>
      <c r="E75" s="3">
        <f>LN('Closing Prices'!F74/'Closing Prices'!F73)</f>
        <v>5.858230981832988E-4</v>
      </c>
      <c r="F75" s="3">
        <f>LN('Closing Prices'!G74/'Closing Prices'!G73)</f>
        <v>1.8086821650921791E-3</v>
      </c>
      <c r="G75" s="3">
        <f>LN('Closing Prices'!H74/'Closing Prices'!H73)</f>
        <v>-2.3529405330989895E-2</v>
      </c>
      <c r="H75" s="3">
        <f>LN('Closing Prices'!I74/'Closing Prices'!I73)</f>
        <v>8.6883691845344446E-3</v>
      </c>
      <c r="I75" s="3">
        <f>LN('Closing Prices'!J74/'Closing Prices'!J73)</f>
        <v>-7.4158005498169838E-3</v>
      </c>
      <c r="J75" s="4">
        <f>LN('Closing Prices'!K74/'Closing Prices'!K73)</f>
        <v>4.2148387619767017E-5</v>
      </c>
    </row>
    <row r="76" spans="4:10" x14ac:dyDescent="0.3">
      <c r="D76" s="13">
        <v>68</v>
      </c>
      <c r="E76" s="3">
        <f>LN('Closing Prices'!F75/'Closing Prices'!F74)</f>
        <v>-4.4020614006376529E-3</v>
      </c>
      <c r="F76" s="3">
        <f>LN('Closing Prices'!G75/'Closing Prices'!G74)</f>
        <v>5.4065009547529927E-3</v>
      </c>
      <c r="G76" s="3">
        <f>LN('Closing Prices'!H75/'Closing Prices'!H74)</f>
        <v>-8.4562628359617566E-4</v>
      </c>
      <c r="H76" s="3">
        <f>LN('Closing Prices'!I75/'Closing Prices'!I74)</f>
        <v>-5.3666275447646124E-3</v>
      </c>
      <c r="I76" s="3">
        <f>LN('Closing Prices'!J75/'Closing Prices'!J74)</f>
        <v>-5.2565097185794463E-3</v>
      </c>
      <c r="J76" s="4">
        <f>LN('Closing Prices'!K75/'Closing Prices'!K74)</f>
        <v>-7.4180095449837852E-3</v>
      </c>
    </row>
    <row r="77" spans="4:10" x14ac:dyDescent="0.3">
      <c r="D77" s="13">
        <v>69</v>
      </c>
      <c r="E77" s="3">
        <f>LN('Closing Prices'!F76/'Closing Prices'!F75)</f>
        <v>2.643561533650373E-3</v>
      </c>
      <c r="F77" s="3">
        <f>LN('Closing Prices'!G76/'Closing Prices'!G75)</f>
        <v>-1.1751252588087346E-2</v>
      </c>
      <c r="G77" s="3">
        <f>LN('Closing Prices'!H76/'Closing Prices'!H75)</f>
        <v>1.2702734669193678E-2</v>
      </c>
      <c r="H77" s="3">
        <f>LN('Closing Prices'!I76/'Closing Prices'!I75)</f>
        <v>-8.4197795560212903E-3</v>
      </c>
      <c r="I77" s="3">
        <f>LN('Closing Prices'!J76/'Closing Prices'!J75)</f>
        <v>3.9611727498944866E-3</v>
      </c>
      <c r="J77" s="4">
        <f>LN('Closing Prices'!K76/'Closing Prices'!K75)</f>
        <v>-6.0498931855977973E-3</v>
      </c>
    </row>
    <row r="78" spans="4:10" x14ac:dyDescent="0.3">
      <c r="D78" s="13">
        <v>70</v>
      </c>
      <c r="E78" s="3">
        <f>LN('Closing Prices'!F77/'Closing Prices'!F76)</f>
        <v>-1.9085376122819197E-3</v>
      </c>
      <c r="F78" s="3">
        <f>LN('Closing Prices'!G77/'Closing Prices'!G76)</f>
        <v>1.055233147334932E-2</v>
      </c>
      <c r="G78" s="3">
        <f>LN('Closing Prices'!H77/'Closing Prices'!H76)</f>
        <v>-1.0871447326238478E-2</v>
      </c>
      <c r="H78" s="3">
        <f>LN('Closing Prices'!I77/'Closing Prices'!I76)</f>
        <v>8.2946309418789246E-3</v>
      </c>
      <c r="I78" s="3">
        <f>LN('Closing Prices'!J77/'Closing Prices'!J76)</f>
        <v>-8.8530717530360716E-3</v>
      </c>
      <c r="J78" s="4">
        <f>LN('Closing Prices'!K77/'Closing Prices'!K76)</f>
        <v>4.5796514994671028E-3</v>
      </c>
    </row>
    <row r="79" spans="4:10" x14ac:dyDescent="0.3">
      <c r="D79" s="13">
        <v>71</v>
      </c>
      <c r="E79" s="3">
        <f>LN('Closing Prices'!F78/'Closing Prices'!F77)</f>
        <v>1.0379451417173459E-2</v>
      </c>
      <c r="F79" s="3">
        <f>LN('Closing Prices'!G78/'Closing Prices'!G77)</f>
        <v>-3.2041681563876752E-3</v>
      </c>
      <c r="G79" s="3">
        <f>LN('Closing Prices'!H78/'Closing Prices'!H77)</f>
        <v>1.7811113215749673E-3</v>
      </c>
      <c r="H79" s="3">
        <f>LN('Closing Prices'!I78/'Closing Prices'!I77)</f>
        <v>6.2558650773416767E-4</v>
      </c>
      <c r="I79" s="3">
        <f>LN('Closing Prices'!J78/'Closing Prices'!J77)</f>
        <v>7.2964493087405826E-3</v>
      </c>
      <c r="J79" s="4">
        <f>LN('Closing Prices'!K78/'Closing Prices'!K77)</f>
        <v>4.23022191589953E-4</v>
      </c>
    </row>
    <row r="80" spans="4:10" x14ac:dyDescent="0.3">
      <c r="D80" s="13">
        <v>72</v>
      </c>
      <c r="E80" s="3">
        <f>LN('Closing Prices'!F79/'Closing Prices'!F78)</f>
        <v>1.041676085825558E-2</v>
      </c>
      <c r="F80" s="3">
        <f>LN('Closing Prices'!G79/'Closing Prices'!G78)</f>
        <v>5.9994180546922519E-3</v>
      </c>
      <c r="G80" s="3">
        <f>LN('Closing Prices'!H79/'Closing Prices'!H78)</f>
        <v>4.9982586832339176E-3</v>
      </c>
      <c r="H80" s="3">
        <f>LN('Closing Prices'!I79/'Closing Prices'!I78)</f>
        <v>7.3525161433448715E-3</v>
      </c>
      <c r="I80" s="3">
        <f>LN('Closing Prices'!J79/'Closing Prices'!J78)</f>
        <v>-3.2507667922227483E-3</v>
      </c>
      <c r="J80" s="4">
        <f>LN('Closing Prices'!K79/'Closing Prices'!K78)</f>
        <v>1.3050883643997757E-2</v>
      </c>
    </row>
    <row r="81" spans="4:10" x14ac:dyDescent="0.3">
      <c r="D81" s="13">
        <v>73</v>
      </c>
      <c r="E81" s="3">
        <f>LN('Closing Prices'!F80/'Closing Prices'!F79)</f>
        <v>2.0847568745438663E-3</v>
      </c>
      <c r="F81" s="3">
        <f>LN('Closing Prices'!G80/'Closing Prices'!G79)</f>
        <v>1.9936204212756936E-4</v>
      </c>
      <c r="G81" s="3">
        <f>LN('Closing Prices'!H80/'Closing Prices'!H79)</f>
        <v>-1.7255454905279553E-3</v>
      </c>
      <c r="H81" s="3">
        <f>LN('Closing Prices'!I80/'Closing Prices'!I79)</f>
        <v>3.3467648220482128E-3</v>
      </c>
      <c r="I81" s="3">
        <f>LN('Closing Prices'!J80/'Closing Prices'!J79)</f>
        <v>2.0817077514975117E-3</v>
      </c>
      <c r="J81" s="4">
        <f>LN('Closing Prices'!K80/'Closing Prices'!K79)</f>
        <v>-3.9578539716423828E-3</v>
      </c>
    </row>
    <row r="82" spans="4:10" x14ac:dyDescent="0.3">
      <c r="D82" s="13">
        <v>74</v>
      </c>
      <c r="E82" s="3">
        <f>LN('Closing Prices'!F81/'Closing Prices'!F80)</f>
        <v>-4.1738690416205405E-3</v>
      </c>
      <c r="F82" s="3">
        <f>LN('Closing Prices'!G81/'Closing Prices'!G80)</f>
        <v>-6.0984942821642211E-3</v>
      </c>
      <c r="G82" s="3">
        <f>LN('Closing Prices'!H81/'Closing Prices'!H80)</f>
        <v>2.4242436115062545E-3</v>
      </c>
      <c r="H82" s="3">
        <f>LN('Closing Prices'!I81/'Closing Prices'!I80)</f>
        <v>-1.1575211697741849E-2</v>
      </c>
      <c r="I82" s="3">
        <f>LN('Closing Prices'!J81/'Closing Prices'!J80)</f>
        <v>4.8620886032446449E-3</v>
      </c>
      <c r="J82" s="4">
        <f>LN('Closing Prices'!K81/'Closing Prices'!K80)</f>
        <v>-1.0451479540594338E-3</v>
      </c>
    </row>
    <row r="83" spans="4:10" x14ac:dyDescent="0.3">
      <c r="D83" s="13">
        <v>75</v>
      </c>
      <c r="E83" s="3">
        <f>LN('Closing Prices'!F82/'Closing Prices'!F81)</f>
        <v>3.4554782061269524E-3</v>
      </c>
      <c r="F83" s="3">
        <f>LN('Closing Prices'!G82/'Closing Prices'!G81)</f>
        <v>3.3038023743852557E-3</v>
      </c>
      <c r="G83" s="3">
        <f>LN('Closing Prices'!H82/'Closing Prices'!H81)</f>
        <v>-1.0861530000170269E-2</v>
      </c>
      <c r="H83" s="3">
        <f>LN('Closing Prices'!I82/'Closing Prices'!I81)</f>
        <v>-1.1900779563924213E-2</v>
      </c>
      <c r="I83" s="3">
        <f>LN('Closing Prices'!J82/'Closing Prices'!J81)</f>
        <v>1.2723471991003307E-2</v>
      </c>
      <c r="J83" s="4">
        <f>LN('Closing Prices'!K82/'Closing Prices'!K81)</f>
        <v>4.4574424514348234E-3</v>
      </c>
    </row>
    <row r="84" spans="4:10" x14ac:dyDescent="0.3">
      <c r="D84" s="13">
        <v>76</v>
      </c>
      <c r="E84" s="3">
        <f>LN('Closing Prices'!F83/'Closing Prices'!F82)</f>
        <v>-1.3384175197974425E-2</v>
      </c>
      <c r="F84" s="3">
        <f>LN('Closing Prices'!G83/'Closing Prices'!G82)</f>
        <v>-1.0752251506002453E-2</v>
      </c>
      <c r="G84" s="3">
        <f>LN('Closing Prices'!H83/'Closing Prices'!H82)</f>
        <v>-6.7066798402524094E-3</v>
      </c>
      <c r="H84" s="3">
        <f>LN('Closing Prices'!I83/'Closing Prices'!I82)</f>
        <v>-1.127508202224912E-2</v>
      </c>
      <c r="I84" s="3">
        <f>LN('Closing Prices'!J83/'Closing Prices'!J82)</f>
        <v>8.9354103468769291E-4</v>
      </c>
      <c r="J84" s="4">
        <f>LN('Closing Prices'!K83/'Closing Prices'!K82)</f>
        <v>4.1973306820145733E-3</v>
      </c>
    </row>
    <row r="85" spans="4:10" x14ac:dyDescent="0.3">
      <c r="D85" s="13">
        <v>77</v>
      </c>
      <c r="E85" s="3">
        <f>LN('Closing Prices'!F84/'Closing Prices'!F83)</f>
        <v>1.2377560215075812E-2</v>
      </c>
      <c r="F85" s="3">
        <f>LN('Closing Prices'!G84/'Closing Prices'!G83)</f>
        <v>1.2350174546497488E-2</v>
      </c>
      <c r="G85" s="3">
        <f>LN('Closing Prices'!H84/'Closing Prices'!H83)</f>
        <v>-3.0374964028178713E-3</v>
      </c>
      <c r="H85" s="3">
        <f>LN('Closing Prices'!I84/'Closing Prices'!I83)</f>
        <v>1.9200005898244268E-3</v>
      </c>
      <c r="I85" s="3">
        <f>LN('Closing Prices'!J84/'Closing Prices'!J83)</f>
        <v>-2.6190567208456343E-3</v>
      </c>
      <c r="J85" s="4">
        <f>LN('Closing Prices'!K84/'Closing Prices'!K83)</f>
        <v>4.4926775337143522E-4</v>
      </c>
    </row>
    <row r="86" spans="4:10" x14ac:dyDescent="0.3">
      <c r="D86" s="13">
        <v>78</v>
      </c>
      <c r="E86" s="3">
        <f>LN('Closing Prices'!F85/'Closing Prices'!F84)</f>
        <v>-9.3562207696123003E-4</v>
      </c>
      <c r="F86" s="3">
        <f>LN('Closing Prices'!G85/'Closing Prices'!G84)</f>
        <v>5.4734674141719069E-3</v>
      </c>
      <c r="G86" s="3">
        <f>LN('Closing Prices'!H85/'Closing Prices'!H84)</f>
        <v>-1.6244936391428929E-2</v>
      </c>
      <c r="H86" s="3">
        <f>LN('Closing Prices'!I85/'Closing Prices'!I84)</f>
        <v>-2.4967203520526947E-3</v>
      </c>
      <c r="I86" s="3">
        <f>LN('Closing Prices'!J85/'Closing Prices'!J84)</f>
        <v>4.1489862600418209E-3</v>
      </c>
      <c r="J86" s="4">
        <f>LN('Closing Prices'!K85/'Closing Prices'!K84)</f>
        <v>6.0775738358815018E-4</v>
      </c>
    </row>
    <row r="87" spans="4:10" x14ac:dyDescent="0.3">
      <c r="D87" s="13">
        <v>79</v>
      </c>
      <c r="E87" s="3">
        <f>LN('Closing Prices'!F86/'Closing Prices'!F85)</f>
        <v>2.4451648284805252E-3</v>
      </c>
      <c r="F87" s="3">
        <f>LN('Closing Prices'!G86/'Closing Prices'!G85)</f>
        <v>1.8838932744369957E-3</v>
      </c>
      <c r="G87" s="3">
        <f>LN('Closing Prices'!H86/'Closing Prices'!H85)</f>
        <v>8.3710678381158816E-3</v>
      </c>
      <c r="H87" s="3">
        <f>LN('Closing Prices'!I86/'Closing Prices'!I85)</f>
        <v>4.030071023042316E-3</v>
      </c>
      <c r="I87" s="3">
        <f>LN('Closing Prices'!J86/'Closing Prices'!J85)</f>
        <v>-1.9424330810398738E-2</v>
      </c>
      <c r="J87" s="4">
        <f>LN('Closing Prices'!K86/'Closing Prices'!K85)</f>
        <v>3.1104556442001602E-4</v>
      </c>
    </row>
    <row r="88" spans="4:10" x14ac:dyDescent="0.3">
      <c r="D88" s="13">
        <v>80</v>
      </c>
      <c r="E88" s="3">
        <f>LN('Closing Prices'!F87/'Closing Prices'!F86)</f>
        <v>-1.243149863389446E-2</v>
      </c>
      <c r="F88" s="3">
        <f>LN('Closing Prices'!G87/'Closing Prices'!G86)</f>
        <v>-5.5627440554112759E-3</v>
      </c>
      <c r="G88" s="3">
        <f>LN('Closing Prices'!H87/'Closing Prices'!H86)</f>
        <v>2.395152223373514E-4</v>
      </c>
      <c r="H88" s="3">
        <f>LN('Closing Prices'!I87/'Closing Prices'!I86)</f>
        <v>-5.441232257862999E-3</v>
      </c>
      <c r="I88" s="3">
        <f>LN('Closing Prices'!J87/'Closing Prices'!J86)</f>
        <v>-2.4710638142904622E-3</v>
      </c>
      <c r="J88" s="4">
        <f>LN('Closing Prices'!K87/'Closing Prices'!K86)</f>
        <v>-1.2608796489010593E-2</v>
      </c>
    </row>
    <row r="89" spans="4:10" x14ac:dyDescent="0.3">
      <c r="D89" s="13">
        <v>81</v>
      </c>
      <c r="E89" s="3">
        <f>LN('Closing Prices'!F88/'Closing Prices'!F87)</f>
        <v>-1.2587988233124981E-2</v>
      </c>
      <c r="F89" s="3">
        <f>LN('Closing Prices'!G88/'Closing Prices'!G87)</f>
        <v>-1.4144791179695259E-2</v>
      </c>
      <c r="G89" s="3">
        <f>LN('Closing Prices'!H88/'Closing Prices'!H87)</f>
        <v>5.2072254291772868E-3</v>
      </c>
      <c r="H89" s="3">
        <f>LN('Closing Prices'!I88/'Closing Prices'!I87)</f>
        <v>-1.7678945142562304E-2</v>
      </c>
      <c r="I89" s="3">
        <f>LN('Closing Prices'!J88/'Closing Prices'!J87)</f>
        <v>-1.2378254943811345E-3</v>
      </c>
      <c r="J89" s="4">
        <f>LN('Closing Prices'!K88/'Closing Prices'!K87)</f>
        <v>8.2400870082830608E-4</v>
      </c>
    </row>
    <row r="90" spans="4:10" x14ac:dyDescent="0.3">
      <c r="D90" s="13">
        <v>82</v>
      </c>
      <c r="E90" s="3">
        <f>LN('Closing Prices'!F89/'Closing Prices'!F88)</f>
        <v>7.7764312359030682E-3</v>
      </c>
      <c r="F90" s="3">
        <f>LN('Closing Prices'!G89/'Closing Prices'!G88)</f>
        <v>9.4020150095123923E-3</v>
      </c>
      <c r="G90" s="3">
        <f>LN('Closing Prices'!H89/'Closing Prices'!H88)</f>
        <v>3.4248237823572736E-3</v>
      </c>
      <c r="H90" s="3">
        <f>LN('Closing Prices'!I89/'Closing Prices'!I88)</f>
        <v>1.1303959773851726E-2</v>
      </c>
      <c r="I90" s="3">
        <f>LN('Closing Prices'!J89/'Closing Prices'!J88)</f>
        <v>8.1802702477336269E-3</v>
      </c>
      <c r="J90" s="4">
        <f>LN('Closing Prices'!K89/'Closing Prices'!K88)</f>
        <v>4.8752013769814443E-3</v>
      </c>
    </row>
    <row r="91" spans="4:10" x14ac:dyDescent="0.3">
      <c r="D91" s="13">
        <v>83</v>
      </c>
      <c r="E91" s="3">
        <f>LN('Closing Prices'!F90/'Closing Prices'!F89)</f>
        <v>8.0353559968317299E-4</v>
      </c>
      <c r="F91" s="3">
        <f>LN('Closing Prices'!G90/'Closing Prices'!G89)</f>
        <v>-1.1015422704065028E-3</v>
      </c>
      <c r="G91" s="3">
        <f>LN('Closing Prices'!H90/'Closing Prices'!H89)</f>
        <v>-6.0967085724322407E-3</v>
      </c>
      <c r="H91" s="3">
        <f>LN('Closing Prices'!I90/'Closing Prices'!I89)</f>
        <v>-1.9398648178265917E-3</v>
      </c>
      <c r="I91" s="3">
        <f>LN('Closing Prices'!J90/'Closing Prices'!J89)</f>
        <v>0</v>
      </c>
      <c r="J91" s="4">
        <f>LN('Closing Prices'!K90/'Closing Prices'!K89)</f>
        <v>7.7545572682551148E-3</v>
      </c>
    </row>
    <row r="92" spans="4:10" x14ac:dyDescent="0.3">
      <c r="D92" s="13">
        <v>84</v>
      </c>
      <c r="E92" s="3">
        <f>LN('Closing Prices'!F91/'Closing Prices'!F90)</f>
        <v>9.8093429616254411E-3</v>
      </c>
      <c r="F92" s="3">
        <f>LN('Closing Prices'!G91/'Closing Prices'!G90)</f>
        <v>1.0762972003795446E-2</v>
      </c>
      <c r="G92" s="3">
        <f>LN('Closing Prices'!H91/'Closing Prices'!H90)</f>
        <v>4.6711238413577475E-3</v>
      </c>
      <c r="H92" s="3">
        <f>LN('Closing Prices'!I91/'Closing Prices'!I90)</f>
        <v>-5.5168077613064808E-3</v>
      </c>
      <c r="I92" s="3">
        <f>LN('Closing Prices'!J91/'Closing Prices'!J90)</f>
        <v>1.6151439373821796E-3</v>
      </c>
      <c r="J92" s="4">
        <f>LN('Closing Prices'!K91/'Closing Prices'!K90)</f>
        <v>-2.8883676170823832E-3</v>
      </c>
    </row>
    <row r="93" spans="4:10" x14ac:dyDescent="0.3">
      <c r="D93" s="13">
        <v>85</v>
      </c>
      <c r="E93" s="3">
        <f>LN('Closing Prices'!F92/'Closing Prices'!F91)</f>
        <v>7.230396590390802E-5</v>
      </c>
      <c r="F93" s="3">
        <f>LN('Closing Prices'!G92/'Closing Prices'!G91)</f>
        <v>-1.6389713802100317E-2</v>
      </c>
      <c r="G93" s="3">
        <f>LN('Closing Prices'!H92/'Closing Prices'!H91)</f>
        <v>-1.1093691930783113E-2</v>
      </c>
      <c r="H93" s="3">
        <f>LN('Closing Prices'!I92/'Closing Prices'!I91)</f>
        <v>2.9893445707923497E-3</v>
      </c>
      <c r="I93" s="3">
        <f>LN('Closing Prices'!J92/'Closing Prices'!J91)</f>
        <v>-1.9358597043195931E-2</v>
      </c>
      <c r="J93" s="4">
        <f>LN('Closing Prices'!K92/'Closing Prices'!K91)</f>
        <v>-3.4212635467366138E-3</v>
      </c>
    </row>
    <row r="94" spans="4:10" x14ac:dyDescent="0.3">
      <c r="D94" s="13">
        <v>86</v>
      </c>
      <c r="E94" s="3">
        <f>LN('Closing Prices'!F93/'Closing Prices'!F92)</f>
        <v>-2.9687578373603506E-3</v>
      </c>
      <c r="F94" s="3">
        <f>LN('Closing Prices'!G93/'Closing Prices'!G92)</f>
        <v>0</v>
      </c>
      <c r="G94" s="3">
        <f>LN('Closing Prices'!H93/'Closing Prices'!H92)</f>
        <v>2.3053657969763514E-3</v>
      </c>
      <c r="H94" s="3">
        <f>LN('Closing Prices'!I93/'Closing Prices'!I92)</f>
        <v>-2.1977464748351518E-2</v>
      </c>
      <c r="I94" s="3">
        <f>LN('Closing Prices'!J93/'Closing Prices'!J92)</f>
        <v>0</v>
      </c>
      <c r="J94" s="4">
        <f>LN('Closing Prices'!K93/'Closing Prices'!K92)</f>
        <v>5.437525955195777E-3</v>
      </c>
    </row>
    <row r="95" spans="4:10" x14ac:dyDescent="0.3">
      <c r="D95" s="13">
        <v>87</v>
      </c>
      <c r="E95" s="3">
        <f>LN('Closing Prices'!F94/'Closing Prices'!F93)</f>
        <v>-4.0691816067257433E-3</v>
      </c>
      <c r="F95" s="3">
        <f>LN('Closing Prices'!G94/'Closing Prices'!G93)</f>
        <v>2.1640128220515409E-3</v>
      </c>
      <c r="G95" s="3">
        <f>LN('Closing Prices'!H94/'Closing Prices'!H93)</f>
        <v>-4.4714837586722041E-3</v>
      </c>
      <c r="H95" s="3">
        <f>LN('Closing Prices'!I94/'Closing Prices'!I93)</f>
        <v>-1.4161893333406164E-2</v>
      </c>
      <c r="I95" s="3">
        <f>LN('Closing Prices'!J94/'Closing Prices'!J93)</f>
        <v>-3.2913142514799431E-4</v>
      </c>
      <c r="J95" s="4">
        <f>LN('Closing Prices'!K94/'Closing Prices'!K93)</f>
        <v>-4.9465584876637178E-3</v>
      </c>
    </row>
    <row r="96" spans="4:10" x14ac:dyDescent="0.3">
      <c r="D96" s="13">
        <v>88</v>
      </c>
      <c r="E96" s="3">
        <f>LN('Closing Prices'!F95/'Closing Prices'!F94)</f>
        <v>4.0691816067257493E-3</v>
      </c>
      <c r="F96" s="3">
        <f>LN('Closing Prices'!G95/'Closing Prices'!G94)</f>
        <v>1.9586677281083569E-3</v>
      </c>
      <c r="G96" s="3">
        <f>LN('Closing Prices'!H95/'Closing Prices'!H94)</f>
        <v>5.6221766986056044E-3</v>
      </c>
      <c r="H96" s="3">
        <f>LN('Closing Prices'!I95/'Closing Prices'!I94)</f>
        <v>1.0972945640239765E-2</v>
      </c>
      <c r="I96" s="3">
        <f>LN('Closing Prices'!J95/'Closing Prices'!J94)</f>
        <v>-3.9510075583122888E-4</v>
      </c>
      <c r="J96" s="4">
        <f>LN('Closing Prices'!K95/'Closing Prices'!K94)</f>
        <v>-8.5410273521012827E-4</v>
      </c>
    </row>
    <row r="97" spans="4:10" x14ac:dyDescent="0.3">
      <c r="D97" s="13">
        <v>89</v>
      </c>
      <c r="E97" s="3">
        <f>LN('Closing Prices'!F96/'Closing Prices'!F95)</f>
        <v>-4.3604720253307121E-3</v>
      </c>
      <c r="F97" s="3">
        <f>LN('Closing Prices'!G96/'Closing Prices'!G95)</f>
        <v>-6.9984929304684456E-3</v>
      </c>
      <c r="G97" s="3">
        <f>LN('Closing Prices'!H96/'Closing Prices'!H95)</f>
        <v>2.7753869858388857E-3</v>
      </c>
      <c r="H97" s="3">
        <f>LN('Closing Prices'!I96/'Closing Prices'!I95)</f>
        <v>2.5620530325348046E-2</v>
      </c>
      <c r="I97" s="3">
        <f>LN('Closing Prices'!J96/'Closing Prices'!J95)</f>
        <v>3.9510075583117885E-4</v>
      </c>
      <c r="J97" s="4">
        <f>LN('Closing Prices'!K96/'Closing Prices'!K95)</f>
        <v>8.7717647153093682E-4</v>
      </c>
    </row>
    <row r="98" spans="4:10" x14ac:dyDescent="0.3">
      <c r="D98" s="13">
        <v>90</v>
      </c>
      <c r="E98" s="3">
        <f>LN('Closing Prices'!F97/'Closing Prices'!F96)</f>
        <v>9.3516213067857904E-3</v>
      </c>
      <c r="F98" s="3">
        <f>LN('Closing Prices'!G97/'Closing Prices'!G96)</f>
        <v>-2.9854544628433385E-3</v>
      </c>
      <c r="G98" s="3">
        <f>LN('Closing Prices'!H97/'Closing Prices'!H96)</f>
        <v>-2.1047604038933001E-3</v>
      </c>
      <c r="H98" s="3">
        <f>LN('Closing Prices'!I97/'Closing Prices'!I96)</f>
        <v>6.4005390642764854E-3</v>
      </c>
      <c r="I98" s="3">
        <f>LN('Closing Prices'!J97/'Closing Prices'!J96)</f>
        <v>-5.2808888981779002E-3</v>
      </c>
      <c r="J98" s="4">
        <f>LN('Closing Prices'!K97/'Closing Prices'!K96)</f>
        <v>-6.4920876467381419E-3</v>
      </c>
    </row>
    <row r="99" spans="4:10" x14ac:dyDescent="0.3">
      <c r="D99" s="13">
        <v>91</v>
      </c>
      <c r="E99" s="3">
        <f>LN('Closing Prices'!F98/'Closing Prices'!F97)</f>
        <v>-1.9674199148305097E-2</v>
      </c>
      <c r="F99" s="3">
        <f>LN('Closing Prices'!G98/'Closing Prices'!G97)</f>
        <v>2.8843984271856283E-3</v>
      </c>
      <c r="G99" s="3">
        <f>LN('Closing Prices'!H98/'Closing Prices'!H97)</f>
        <v>-2.4451648284805152E-3</v>
      </c>
      <c r="H99" s="3">
        <f>LN('Closing Prices'!I98/'Closing Prices'!I97)</f>
        <v>-1.3887309492447779E-2</v>
      </c>
      <c r="I99" s="3">
        <f>LN('Closing Prices'!J98/'Closing Prices'!J97)</f>
        <v>3.9703547371749271E-4</v>
      </c>
      <c r="J99" s="4">
        <f>LN('Closing Prices'!K98/'Closing Prices'!K97)</f>
        <v>-3.6273650668529503E-3</v>
      </c>
    </row>
    <row r="100" spans="4:10" x14ac:dyDescent="0.3">
      <c r="D100" s="13">
        <v>92</v>
      </c>
      <c r="E100" s="3">
        <f>LN('Closing Prices'!F99/'Closing Prices'!F98)</f>
        <v>-4.4163109800678129E-4</v>
      </c>
      <c r="F100" s="3">
        <f>LN('Closing Prices'!G99/'Closing Prices'!G98)</f>
        <v>2.2208771494589287E-3</v>
      </c>
      <c r="G100" s="3">
        <f>LN('Closing Prices'!H99/'Closing Prices'!H98)</f>
        <v>6.4118120042222886E-3</v>
      </c>
      <c r="H100" s="3">
        <f>LN('Closing Prices'!I99/'Closing Prices'!I98)</f>
        <v>-1.1038945135217212E-2</v>
      </c>
      <c r="I100" s="3">
        <f>LN('Closing Prices'!J99/'Closing Prices'!J98)</f>
        <v>-1.2047135617911403E-2</v>
      </c>
      <c r="J100" s="4">
        <f>LN('Closing Prices'!K99/'Closing Prices'!K98)</f>
        <v>-3.2004509643562048E-3</v>
      </c>
    </row>
    <row r="101" spans="4:10" x14ac:dyDescent="0.3">
      <c r="D101" s="13">
        <v>93</v>
      </c>
      <c r="E101" s="3">
        <f>LN('Closing Prices'!F100/'Closing Prices'!F99)</f>
        <v>-1.9552345728110623E-2</v>
      </c>
      <c r="F101" s="3">
        <f>LN('Closing Prices'!G100/'Closing Prices'!G99)</f>
        <v>-9.5238815112555896E-3</v>
      </c>
      <c r="G101" s="3">
        <f>LN('Closing Prices'!H100/'Closing Prices'!H99)</f>
        <v>2.6674303707816538E-3</v>
      </c>
      <c r="H101" s="3">
        <f>LN('Closing Prices'!I100/'Closing Prices'!I99)</f>
        <v>-3.140987020906378E-2</v>
      </c>
      <c r="I101" s="3">
        <f>LN('Closing Prices'!J100/'Closing Prices'!J99)</f>
        <v>-1.0365577093454297E-2</v>
      </c>
      <c r="J101" s="4">
        <f>LN('Closing Prices'!K100/'Closing Prices'!K99)</f>
        <v>-3.5505739227229043E-4</v>
      </c>
    </row>
    <row r="102" spans="4:10" x14ac:dyDescent="0.3">
      <c r="D102" s="13">
        <v>94</v>
      </c>
      <c r="E102" s="3">
        <f>LN('Closing Prices'!F101/'Closing Prices'!F100)</f>
        <v>1.1940440371917849E-2</v>
      </c>
      <c r="F102" s="3">
        <f>LN('Closing Prices'!G101/'Closing Prices'!G100)</f>
        <v>2.2371373983564205E-3</v>
      </c>
      <c r="G102" s="3">
        <f>LN('Closing Prices'!H101/'Closing Prices'!H100)</f>
        <v>5.3609256175906374E-3</v>
      </c>
      <c r="H102" s="3">
        <f>LN('Closing Prices'!I101/'Closing Prices'!I100)</f>
        <v>6.8626054958780477E-3</v>
      </c>
      <c r="I102" s="3">
        <f>LN('Closing Prices'!J101/'Closing Prices'!J100)</f>
        <v>7.6163883836748332E-3</v>
      </c>
      <c r="J102" s="4">
        <f>LN('Closing Prices'!K101/'Closing Prices'!K100)</f>
        <v>6.8788071684807231E-3</v>
      </c>
    </row>
    <row r="103" spans="4:10" x14ac:dyDescent="0.3">
      <c r="D103" s="13">
        <v>95</v>
      </c>
      <c r="E103" s="3">
        <f>LN('Closing Prices'!F102/'Closing Prices'!F101)</f>
        <v>-3.7160949490148139E-3</v>
      </c>
      <c r="F103" s="3">
        <f>LN('Closing Prices'!G102/'Closing Prices'!G101)</f>
        <v>1.5234999902505054E-4</v>
      </c>
      <c r="G103" s="3">
        <f>LN('Closing Prices'!H102/'Closing Prices'!H101)</f>
        <v>1.1151220076771509E-2</v>
      </c>
      <c r="H103" s="3">
        <f>LN('Closing Prices'!I102/'Closing Prices'!I101)</f>
        <v>-6.0447767854000072E-3</v>
      </c>
      <c r="I103" s="3">
        <f>LN('Closing Prices'!J102/'Closing Prices'!J101)</f>
        <v>4.5555113283646687E-3</v>
      </c>
      <c r="J103" s="4">
        <f>LN('Closing Prices'!K102/'Closing Prices'!K101)</f>
        <v>5.6964131953617068E-3</v>
      </c>
    </row>
    <row r="104" spans="4:10" x14ac:dyDescent="0.3">
      <c r="D104" s="13">
        <v>96</v>
      </c>
      <c r="E104" s="3">
        <f>LN('Closing Prices'!F103/'Closing Prices'!F102)</f>
        <v>-1.697119654419961E-2</v>
      </c>
      <c r="F104" s="3">
        <f>LN('Closing Prices'!G103/'Closing Prices'!G102)</f>
        <v>6.0916799690765731E-4</v>
      </c>
      <c r="G104" s="3">
        <f>LN('Closing Prices'!H103/'Closing Prices'!H102)</f>
        <v>6.2038121401747142E-3</v>
      </c>
      <c r="H104" s="3">
        <f>LN('Closing Prices'!I103/'Closing Prices'!I102)</f>
        <v>1.1918607939474609E-2</v>
      </c>
      <c r="I104" s="3">
        <f>LN('Closing Prices'!J103/'Closing Prices'!J102)</f>
        <v>-1.5492698399293908E-2</v>
      </c>
      <c r="J104" s="4">
        <f>LN('Closing Prices'!K103/'Closing Prices'!K102)</f>
        <v>-4.221289024851943E-3</v>
      </c>
    </row>
    <row r="105" spans="4:10" x14ac:dyDescent="0.3">
      <c r="D105" s="13">
        <v>97</v>
      </c>
      <c r="E105" s="3">
        <f>LN('Closing Prices'!F104/'Closing Prices'!F103)</f>
        <v>1.2418780010038995E-2</v>
      </c>
      <c r="F105" s="3">
        <f>LN('Closing Prices'!G104/'Closing Prices'!G103)</f>
        <v>7.4827185679748861E-3</v>
      </c>
      <c r="G105" s="3">
        <f>LN('Closing Prices'!H104/'Closing Prices'!H103)</f>
        <v>4.7781502546149924E-3</v>
      </c>
      <c r="H105" s="3">
        <f>LN('Closing Prices'!I104/'Closing Prices'!I103)</f>
        <v>-2.1564803828483777E-3</v>
      </c>
      <c r="I105" s="3">
        <f>LN('Closing Prices'!J104/'Closing Prices'!J103)</f>
        <v>7.8437078050574999E-3</v>
      </c>
      <c r="J105" s="4">
        <f>LN('Closing Prices'!K104/'Closing Prices'!K103)</f>
        <v>5.5056004579969132E-3</v>
      </c>
    </row>
    <row r="106" spans="4:10" x14ac:dyDescent="0.3">
      <c r="D106" s="13">
        <v>98</v>
      </c>
      <c r="E106" s="3">
        <f>LN('Closing Prices'!F105/'Closing Prices'!F104)</f>
        <v>7.0808628875193708E-3</v>
      </c>
      <c r="F106" s="3">
        <f>LN('Closing Prices'!G105/'Closing Prices'!G104)</f>
        <v>-5.4041900256840006E-3</v>
      </c>
      <c r="G106" s="3">
        <f>LN('Closing Prices'!H105/'Closing Prices'!H104)</f>
        <v>-5.6620562459639067E-3</v>
      </c>
      <c r="H106" s="3">
        <f>LN('Closing Prices'!I105/'Closing Prices'!I104)</f>
        <v>7.7282734031522233E-3</v>
      </c>
      <c r="I106" s="3">
        <f>LN('Closing Prices'!J105/'Closing Prices'!J104)</f>
        <v>1.1443574336240368E-3</v>
      </c>
      <c r="J106" s="4">
        <f>LN('Closing Prices'!K105/'Closing Prices'!K104)</f>
        <v>4.6491566928543275E-3</v>
      </c>
    </row>
    <row r="107" spans="4:10" x14ac:dyDescent="0.3">
      <c r="D107" s="13">
        <v>99</v>
      </c>
      <c r="E107" s="3">
        <f>LN('Closing Prices'!F106/'Closing Prices'!F105)</f>
        <v>-8.1732738509914427E-4</v>
      </c>
      <c r="F107" s="3">
        <f>LN('Closing Prices'!G106/'Closing Prices'!G105)</f>
        <v>1.0929621001258721E-2</v>
      </c>
      <c r="G107" s="3">
        <f>LN('Closing Prices'!H106/'Closing Prices'!H105)</f>
        <v>1.7714274444325873E-2</v>
      </c>
      <c r="H107" s="3">
        <f>LN('Closing Prices'!I106/'Closing Prices'!I105)</f>
        <v>1.1051307468270086E-2</v>
      </c>
      <c r="I107" s="3">
        <f>LN('Closing Prices'!J106/'Closing Prices'!J105)</f>
        <v>-7.3601736765800526E-3</v>
      </c>
      <c r="J107" s="4">
        <f>LN('Closing Prices'!K106/'Closing Prices'!K105)</f>
        <v>-5.855774982380226E-3</v>
      </c>
    </row>
    <row r="108" spans="4:10" x14ac:dyDescent="0.3">
      <c r="D108" s="13">
        <v>100</v>
      </c>
      <c r="E108" s="3">
        <f>LN('Closing Prices'!F107/'Closing Prices'!F106)</f>
        <v>1.2630813856981369E-2</v>
      </c>
      <c r="F108" s="3">
        <f>LN('Closing Prices'!G107/'Closing Prices'!G106)</f>
        <v>0</v>
      </c>
      <c r="G108" s="3">
        <f>LN('Closing Prices'!H107/'Closing Prices'!H106)</f>
        <v>1.7495800492410542E-2</v>
      </c>
      <c r="H108" s="3">
        <f>LN('Closing Prices'!I107/'Closing Prices'!I106)</f>
        <v>-6.7760838557003773E-3</v>
      </c>
      <c r="I108" s="3">
        <f>LN('Closing Prices'!J107/'Closing Prices'!J106)</f>
        <v>8.7719860728370409E-3</v>
      </c>
      <c r="J108" s="4">
        <f>LN('Closing Prices'!K107/'Closing Prices'!K106)</f>
        <v>1.1898405401766731E-3</v>
      </c>
    </row>
    <row r="109" spans="4:10" x14ac:dyDescent="0.3">
      <c r="D109" s="13">
        <v>101</v>
      </c>
      <c r="E109" s="3">
        <f>LN('Closing Prices'!F108/'Closing Prices'!F107)</f>
        <v>5.8548176614316204E-3</v>
      </c>
      <c r="F109" s="3">
        <f>LN('Closing Prices'!G108/'Closing Prices'!G107)</f>
        <v>9.6710624156061149E-3</v>
      </c>
      <c r="G109" s="3">
        <f>LN('Closing Prices'!H108/'Closing Prices'!H107)</f>
        <v>-1.2933748784568242E-2</v>
      </c>
      <c r="H109" s="3">
        <f>LN('Closing Prices'!I108/'Closing Prices'!I107)</f>
        <v>2.8621845345639827E-3</v>
      </c>
      <c r="I109" s="3">
        <f>LN('Closing Prices'!J108/'Closing Prices'!J107)</f>
        <v>1.0492293936471693E-2</v>
      </c>
      <c r="J109" s="4">
        <f>LN('Closing Prices'!K108/'Closing Prices'!K107)</f>
        <v>-6.493105764552665E-3</v>
      </c>
    </row>
    <row r="110" spans="4:10" x14ac:dyDescent="0.3">
      <c r="D110" s="13">
        <v>102</v>
      </c>
      <c r="E110" s="3">
        <f>LN('Closing Prices'!F109/'Closing Prices'!F108)</f>
        <v>-5.3411504331128887E-3</v>
      </c>
      <c r="F110" s="3">
        <f>LN('Closing Prices'!G109/'Closing Prices'!G108)</f>
        <v>-4.2756354287667034E-3</v>
      </c>
      <c r="G110" s="3">
        <f>LN('Closing Prices'!H109/'Closing Prices'!H108)</f>
        <v>7.6177025669135314E-3</v>
      </c>
      <c r="H110" s="3">
        <f>LN('Closing Prices'!I109/'Closing Prices'!I108)</f>
        <v>1.3796053660038405E-2</v>
      </c>
      <c r="I110" s="3">
        <f>LN('Closing Prices'!J109/'Closing Prices'!J108)</f>
        <v>-1.1567779689125059E-2</v>
      </c>
      <c r="J110" s="4">
        <f>LN('Closing Prices'!K109/'Closing Prices'!K108)</f>
        <v>2.9214332840092785E-3</v>
      </c>
    </row>
    <row r="111" spans="4:10" x14ac:dyDescent="0.3">
      <c r="D111" s="13">
        <v>103</v>
      </c>
      <c r="E111" s="3">
        <f>LN('Closing Prices'!F110/'Closing Prices'!F109)</f>
        <v>1.05813370966689E-2</v>
      </c>
      <c r="F111" s="3">
        <f>LN('Closing Prices'!G110/'Closing Prices'!G109)</f>
        <v>-5.9805633479534154E-4</v>
      </c>
      <c r="G111" s="3">
        <f>LN('Closing Prices'!H110/'Closing Prices'!H109)</f>
        <v>-3.6202410794770644E-3</v>
      </c>
      <c r="H111" s="3">
        <f>LN('Closing Prices'!I110/'Closing Prices'!I109)</f>
        <v>2.0301916007510073E-3</v>
      </c>
      <c r="I111" s="3">
        <f>LN('Closing Prices'!J110/'Closing Prices'!J109)</f>
        <v>-1.8848878014050966E-3</v>
      </c>
      <c r="J111" s="4">
        <f>LN('Closing Prices'!K110/'Closing Prices'!K109)</f>
        <v>1.3890321204430828E-4</v>
      </c>
    </row>
    <row r="112" spans="4:10" x14ac:dyDescent="0.3">
      <c r="D112" s="13">
        <v>104</v>
      </c>
      <c r="E112" s="3">
        <f>LN('Closing Prices'!F111/'Closing Prices'!F110)</f>
        <v>7.2587377087125876E-5</v>
      </c>
      <c r="F112" s="3">
        <f>LN('Closing Prices'!G111/'Closing Prices'!G110)</f>
        <v>-8.2094869636685965E-3</v>
      </c>
      <c r="G112" s="3">
        <f>LN('Closing Prices'!H111/'Closing Prices'!H110)</f>
        <v>-1.8135654746846062E-4</v>
      </c>
      <c r="H112" s="3">
        <f>LN('Closing Prices'!I111/'Closing Prices'!I110)</f>
        <v>0</v>
      </c>
      <c r="I112" s="3">
        <f>LN('Closing Prices'!J111/'Closing Prices'!J110)</f>
        <v>-2.2142131562857367E-2</v>
      </c>
      <c r="J112" s="4">
        <f>LN('Closing Prices'!K111/'Closing Prices'!K110)</f>
        <v>-1.8156814950362735E-3</v>
      </c>
    </row>
    <row r="113" spans="4:10" x14ac:dyDescent="0.3">
      <c r="D113" s="13">
        <v>105</v>
      </c>
      <c r="E113" s="3">
        <f>LN('Closing Prices'!F112/'Closing Prices'!F111)</f>
        <v>-1.0213848186765156E-2</v>
      </c>
      <c r="F113" s="3">
        <f>LN('Closing Prices'!G112/'Closing Prices'!G111)</f>
        <v>1.4025335343671817E-2</v>
      </c>
      <c r="G113" s="3">
        <f>LN('Closing Prices'!H112/'Closing Prices'!H111)</f>
        <v>-2.5627120023296743E-2</v>
      </c>
      <c r="H113" s="3">
        <f>LN('Closing Prices'!I112/'Closing Prices'!I111)</f>
        <v>-3.739313982602304E-2</v>
      </c>
      <c r="I113" s="3">
        <f>LN('Closing Prices'!J112/'Closing Prices'!J111)</f>
        <v>-2.2068974474290077E-3</v>
      </c>
      <c r="J113" s="4">
        <f>LN('Closing Prices'!K112/'Closing Prices'!K111)</f>
        <v>-4.9900608997777872E-3</v>
      </c>
    </row>
    <row r="114" spans="4:10" x14ac:dyDescent="0.3">
      <c r="D114" s="13">
        <v>106</v>
      </c>
      <c r="E114" s="3">
        <f>LN('Closing Prices'!F113/'Closing Prices'!F112)</f>
        <v>1.3330131463826873E-2</v>
      </c>
      <c r="F114" s="3">
        <f>LN('Closing Prices'!G113/'Closing Prices'!G112)</f>
        <v>-1.0909993643529346E-3</v>
      </c>
      <c r="G114" s="3">
        <f>LN('Closing Prices'!H113/'Closing Prices'!H112)</f>
        <v>1.0229228585274151E-3</v>
      </c>
      <c r="H114" s="3">
        <f>LN('Closing Prices'!I113/'Closing Prices'!I112)</f>
        <v>-7.8410383663976412E-3</v>
      </c>
      <c r="I114" s="3">
        <f>LN('Closing Prices'!J113/'Closing Prices'!J112)</f>
        <v>1.1532253013173073E-2</v>
      </c>
      <c r="J114" s="4">
        <f>LN('Closing Prices'!K113/'Closing Prices'!K112)</f>
        <v>-1.4524453990308673E-3</v>
      </c>
    </row>
    <row r="115" spans="4:10" x14ac:dyDescent="0.3">
      <c r="D115" s="13">
        <v>107</v>
      </c>
      <c r="E115" s="3">
        <f>LN('Closing Prices'!F114/'Closing Prices'!F113)</f>
        <v>5.9878258478823698E-3</v>
      </c>
      <c r="F115" s="3">
        <f>LN('Closing Prices'!G114/'Closing Prices'!G113)</f>
        <v>-4.7248490156501319E-3</v>
      </c>
      <c r="G115" s="3">
        <f>LN('Closing Prices'!H114/'Closing Prices'!H113)</f>
        <v>1.3940844373039422E-4</v>
      </c>
      <c r="H115" s="3">
        <f>LN('Closing Prices'!I114/'Closing Prices'!I113)</f>
        <v>0</v>
      </c>
      <c r="I115" s="3">
        <f>LN('Closing Prices'!J114/'Closing Prices'!J113)</f>
        <v>1.0914052925115757E-3</v>
      </c>
      <c r="J115" s="4">
        <f>LN('Closing Prices'!K114/'Closing Prices'!K113)</f>
        <v>-7.9440312192523236E-3</v>
      </c>
    </row>
    <row r="116" spans="4:10" x14ac:dyDescent="0.3">
      <c r="D116" s="13">
        <v>108</v>
      </c>
      <c r="E116" s="3">
        <f>LN('Closing Prices'!F115/'Closing Prices'!F114)</f>
        <v>3.2759659465203504E-2</v>
      </c>
      <c r="F116" s="3">
        <f>LN('Closing Prices'!G115/'Closing Prices'!G114)</f>
        <v>-3.9890302199375083E-4</v>
      </c>
      <c r="G116" s="3">
        <f>LN('Closing Prices'!H115/'Closing Prices'!H114)</f>
        <v>-9.2975693555611403E-4</v>
      </c>
      <c r="H116" s="3">
        <f>LN('Closing Prices'!I115/'Closing Prices'!I114)</f>
        <v>-1.3645973294152564E-2</v>
      </c>
      <c r="I116" s="3">
        <f>LN('Closing Prices'!J115/'Closing Prices'!J114)</f>
        <v>-3.4682349728547161E-2</v>
      </c>
      <c r="J116" s="4">
        <f>LN('Closing Prices'!K115/'Closing Prices'!K114)</f>
        <v>-8.3030626450623594E-3</v>
      </c>
    </row>
    <row r="117" spans="4:10" x14ac:dyDescent="0.3">
      <c r="D117" s="13">
        <v>109</v>
      </c>
      <c r="E117" s="3">
        <f>LN('Closing Prices'!F116/'Closing Prices'!F115)</f>
        <v>-1.3525557467841502E-2</v>
      </c>
      <c r="F117" s="3">
        <f>LN('Closing Prices'!G116/'Closing Prices'!G115)</f>
        <v>-8.2127758932025816E-3</v>
      </c>
      <c r="G117" s="3">
        <f>LN('Closing Prices'!H116/'Closing Prices'!H115)</f>
        <v>-2.5612978819379195E-3</v>
      </c>
      <c r="H117" s="3">
        <f>LN('Closing Prices'!I116/'Closing Prices'!I115)</f>
        <v>2.0875577829211702E-2</v>
      </c>
      <c r="I117" s="3">
        <f>LN('Closing Prices'!J116/'Closing Prices'!J115)</f>
        <v>-1.3143594421818876E-2</v>
      </c>
      <c r="J117" s="4">
        <f>LN('Closing Prices'!K116/'Closing Prices'!K115)</f>
        <v>4.7656174627616413E-3</v>
      </c>
    </row>
    <row r="118" spans="4:10" x14ac:dyDescent="0.3">
      <c r="D118" s="13">
        <v>110</v>
      </c>
      <c r="E118" s="3">
        <f>LN('Closing Prices'!F117/'Closing Prices'!F116)</f>
        <v>-1.3424927271588631E-2</v>
      </c>
      <c r="F118" s="3">
        <f>LN('Closing Prices'!G117/'Closing Prices'!G116)</f>
        <v>-1.6323996264988452E-2</v>
      </c>
      <c r="G118" s="3">
        <f>LN('Closing Prices'!H117/'Closing Prices'!H116)</f>
        <v>-1.2575240789691052E-2</v>
      </c>
      <c r="H118" s="3">
        <f>LN('Closing Prices'!I117/'Closing Prices'!I116)</f>
        <v>1.9688386820860266E-3</v>
      </c>
      <c r="I118" s="3">
        <f>LN('Closing Prices'!J117/'Closing Prices'!J116)</f>
        <v>-1.7312702485998813E-2</v>
      </c>
      <c r="J118" s="4">
        <f>LN('Closing Prices'!K117/'Closing Prices'!K116)</f>
        <v>1.8334916415760402E-3</v>
      </c>
    </row>
    <row r="119" spans="4:10" x14ac:dyDescent="0.3">
      <c r="D119" s="13">
        <v>111</v>
      </c>
      <c r="E119" s="3">
        <f>LN('Closing Prices'!F118/'Closing Prices'!F117)</f>
        <v>-1.0278616998614876E-2</v>
      </c>
      <c r="F119" s="3">
        <f>LN('Closing Prices'!G118/'Closing Prices'!G117)</f>
        <v>-1.2786090477391139E-3</v>
      </c>
      <c r="G119" s="3">
        <f>LN('Closing Prices'!H118/'Closing Prices'!H117)</f>
        <v>1.3227830194289561E-2</v>
      </c>
      <c r="H119" s="3">
        <f>LN('Closing Prices'!I118/'Closing Prices'!I117)</f>
        <v>1.2670340684815217E-2</v>
      </c>
      <c r="I119" s="3">
        <f>LN('Closing Prices'!J118/'Closing Prices'!J117)</f>
        <v>5.0922053986550398E-4</v>
      </c>
      <c r="J119" s="4">
        <f>LN('Closing Prices'!K118/'Closing Prices'!K117)</f>
        <v>-4.1134209865676804E-3</v>
      </c>
    </row>
    <row r="120" spans="4:10" x14ac:dyDescent="0.3">
      <c r="D120" s="13">
        <v>112</v>
      </c>
      <c r="E120" s="3">
        <f>LN('Closing Prices'!F119/'Closing Prices'!F118)</f>
        <v>-1.15665450616633E-3</v>
      </c>
      <c r="F120" s="3">
        <f>LN('Closing Prices'!G119/'Closing Prices'!G118)</f>
        <v>1.5351943330305949E-4</v>
      </c>
      <c r="G120" s="3">
        <f>LN('Closing Prices'!H119/'Closing Prices'!H118)</f>
        <v>-8.9401236701443457E-3</v>
      </c>
      <c r="H120" s="3">
        <f>LN('Closing Prices'!I119/'Closing Prices'!I118)</f>
        <v>-2.212464447135261E-3</v>
      </c>
      <c r="I120" s="3">
        <f>LN('Closing Prices'!J119/'Closing Prices'!J118)</f>
        <v>6.5433133309914838E-4</v>
      </c>
      <c r="J120" s="4">
        <f>LN('Closing Prices'!K119/'Closing Prices'!K118)</f>
        <v>-5.7129328150287888E-3</v>
      </c>
    </row>
    <row r="121" spans="4:10" x14ac:dyDescent="0.3">
      <c r="D121" s="13">
        <v>113</v>
      </c>
      <c r="E121" s="3">
        <f>LN('Closing Prices'!F120/'Closing Prices'!F119)</f>
        <v>-2.2448323992989576E-3</v>
      </c>
      <c r="F121" s="3">
        <f>LN('Closing Prices'!G120/'Closing Prices'!G119)</f>
        <v>1.3806153600450296E-3</v>
      </c>
      <c r="G121" s="3">
        <f>LN('Closing Prices'!H120/'Closing Prices'!H119)</f>
        <v>-1.2490108911062633E-2</v>
      </c>
      <c r="H121" s="3">
        <f>LN('Closing Prices'!I120/'Closing Prices'!I119)</f>
        <v>1.664042657098451E-2</v>
      </c>
      <c r="I121" s="3">
        <f>LN('Closing Prices'!J120/'Closing Prices'!J119)</f>
        <v>4.2065626288529476E-3</v>
      </c>
      <c r="J121" s="4">
        <f>LN('Closing Prices'!K120/'Closing Prices'!K119)</f>
        <v>4.3243800771923125E-3</v>
      </c>
    </row>
    <row r="122" spans="4:10" x14ac:dyDescent="0.3">
      <c r="D122" s="13">
        <v>114</v>
      </c>
      <c r="E122" s="3">
        <f>LN('Closing Prices'!F121/'Closing Prices'!F120)</f>
        <v>6.5224483234155599E-4</v>
      </c>
      <c r="F122" s="3">
        <f>LN('Closing Prices'!G121/'Closing Prices'!G120)</f>
        <v>2.4497307341389257E-3</v>
      </c>
      <c r="G122" s="3">
        <f>LN('Closing Prices'!H121/'Closing Prices'!H120)</f>
        <v>-1.7868768818252442E-2</v>
      </c>
      <c r="H122" s="3">
        <f>LN('Closing Prices'!I121/'Closing Prices'!I120)</f>
        <v>-3.7034629988954844E-3</v>
      </c>
      <c r="I122" s="3">
        <f>LN('Closing Prices'!J121/'Closing Prices'!J120)</f>
        <v>-2.8266009035284672E-3</v>
      </c>
      <c r="J122" s="4">
        <f>LN('Closing Prices'!K121/'Closing Prices'!K120)</f>
        <v>-1.7184450256891868E-3</v>
      </c>
    </row>
    <row r="123" spans="4:10" x14ac:dyDescent="0.3">
      <c r="D123" s="13">
        <v>115</v>
      </c>
      <c r="E123" s="3">
        <f>LN('Closing Prices'!F122/'Closing Prices'!F121)</f>
        <v>-2.9747890611530625E-3</v>
      </c>
      <c r="F123" s="3">
        <f>LN('Closing Prices'!G122/'Closing Prices'!G121)</f>
        <v>-2.2453571384960119E-3</v>
      </c>
      <c r="G123" s="3">
        <f>LN('Closing Prices'!H122/'Closing Prices'!H121)</f>
        <v>-3.4816139752645782E-2</v>
      </c>
      <c r="H123" s="3">
        <f>LN('Closing Prices'!I122/'Closing Prices'!I121)</f>
        <v>-9.5197603405956649E-3</v>
      </c>
      <c r="I123" s="3">
        <f>LN('Closing Prices'!J122/'Closing Prices'!J121)</f>
        <v>-7.5768976794017822E-3</v>
      </c>
      <c r="J123" s="4">
        <f>LN('Closing Prices'!K122/'Closing Prices'!K121)</f>
        <v>-6.1453934798590898E-3</v>
      </c>
    </row>
    <row r="124" spans="4:10" x14ac:dyDescent="0.3">
      <c r="D124" s="13">
        <v>116</v>
      </c>
      <c r="E124" s="3">
        <f>LN('Closing Prices'!F123/'Closing Prices'!F122)</f>
        <v>-4.2963838162242566E-3</v>
      </c>
      <c r="F124" s="3">
        <f>LN('Closing Prices'!G123/'Closing Prices'!G122)</f>
        <v>-1.6361594814763756E-3</v>
      </c>
      <c r="G124" s="3">
        <f>LN('Closing Prices'!H123/'Closing Prices'!H122)</f>
        <v>-5.5216727051088854E-4</v>
      </c>
      <c r="H124" s="3">
        <f>LN('Closing Prices'!I123/'Closing Prices'!I122)</f>
        <v>-2.4717696517010654E-2</v>
      </c>
      <c r="I124" s="3">
        <f>LN('Closing Prices'!J123/'Closing Prices'!J122)</f>
        <v>1.2644598382305899E-2</v>
      </c>
      <c r="J124" s="4">
        <f>LN('Closing Prices'!K123/'Closing Prices'!K122)</f>
        <v>-4.3258836716948247E-3</v>
      </c>
    </row>
    <row r="125" spans="4:10" x14ac:dyDescent="0.3">
      <c r="D125" s="13">
        <v>117</v>
      </c>
      <c r="E125" s="3">
        <f>LN('Closing Prices'!F124/'Closing Prices'!F123)</f>
        <v>4.0783684816155918E-3</v>
      </c>
      <c r="F125" s="3">
        <f>LN('Closing Prices'!G124/'Closing Prices'!G123)</f>
        <v>1.6361594814763775E-3</v>
      </c>
      <c r="G125" s="3">
        <f>LN('Closing Prices'!H124/'Closing Prices'!H123)</f>
        <v>1.6054589039399129E-3</v>
      </c>
      <c r="H125" s="3">
        <f>LN('Closing Prices'!I124/'Closing Prices'!I123)</f>
        <v>1.192721585264162E-2</v>
      </c>
      <c r="I125" s="3">
        <f>LN('Closing Prices'!J124/'Closing Prices'!J123)</f>
        <v>-7.1019937613278437E-3</v>
      </c>
      <c r="J125" s="4">
        <f>LN('Closing Prices'!K124/'Closing Prices'!K123)</f>
        <v>-8.5059554856270567E-3</v>
      </c>
    </row>
    <row r="126" spans="4:10" x14ac:dyDescent="0.3">
      <c r="D126" s="13">
        <v>118</v>
      </c>
      <c r="E126" s="3">
        <f>LN('Closing Prices'!F125/'Closing Prices'!F124)</f>
        <v>-9.1264825050858724E-3</v>
      </c>
      <c r="F126" s="3">
        <f>LN('Closing Prices'!G125/'Closing Prices'!G124)</f>
        <v>3.8751833116423516E-3</v>
      </c>
      <c r="G126" s="3">
        <f>LN('Closing Prices'!H125/'Closing Prices'!H124)</f>
        <v>9.3307066195414678E-3</v>
      </c>
      <c r="H126" s="3">
        <f>LN('Closing Prices'!I125/'Closing Prices'!I124)</f>
        <v>-2.0119750745237534E-2</v>
      </c>
      <c r="I126" s="3">
        <f>LN('Closing Prices'!J125/'Closing Prices'!J124)</f>
        <v>-8.4721511719867155E-3</v>
      </c>
      <c r="J126" s="4">
        <f>LN('Closing Prices'!K125/'Closing Prices'!K124)</f>
        <v>2.1990974992530137E-4</v>
      </c>
    </row>
    <row r="127" spans="4:10" x14ac:dyDescent="0.3">
      <c r="D127" s="13">
        <v>119</v>
      </c>
      <c r="E127" s="3">
        <f>LN('Closing Prices'!F126/'Closing Prices'!F125)</f>
        <v>1.3193581038669698E-3</v>
      </c>
      <c r="F127" s="3">
        <f>LN('Closing Prices'!G126/'Closing Prices'!G125)</f>
        <v>-9.2538813184968767E-3</v>
      </c>
      <c r="G127" s="3">
        <f>LN('Closing Prices'!H126/'Closing Prices'!H125)</f>
        <v>0</v>
      </c>
      <c r="H127" s="3">
        <f>LN('Closing Prices'!I126/'Closing Prices'!I125)</f>
        <v>-5.5317384898359351E-4</v>
      </c>
      <c r="I127" s="3">
        <f>LN('Closing Prices'!J126/'Closing Prices'!J125)</f>
        <v>3.8798042885357098E-3</v>
      </c>
      <c r="J127" s="4">
        <f>LN('Closing Prices'!K126/'Closing Prices'!K125)</f>
        <v>-1.1418577878784732E-3</v>
      </c>
    </row>
    <row r="128" spans="4:10" x14ac:dyDescent="0.3">
      <c r="D128" s="13">
        <v>120</v>
      </c>
      <c r="E128" s="3">
        <f>LN('Closing Prices'!F127/'Closing Prices'!F126)</f>
        <v>4.9685912532786121E-3</v>
      </c>
      <c r="F128" s="3">
        <f>LN('Closing Prices'!G127/'Closing Prices'!G126)</f>
        <v>-8.5629327510351756E-3</v>
      </c>
      <c r="G128" s="3">
        <f>LN('Closing Prices'!H127/'Closing Prices'!H126)</f>
        <v>8.8014808682004304E-3</v>
      </c>
      <c r="H128" s="3">
        <f>LN('Closing Prices'!I127/'Closing Prices'!I126)</f>
        <v>-2.7704685957185742E-3</v>
      </c>
      <c r="I128" s="3">
        <f>LN('Closing Prices'!J127/'Closing Prices'!J126)</f>
        <v>-3.4398248138132791E-3</v>
      </c>
      <c r="J128" s="4">
        <f>LN('Closing Prices'!K127/'Closing Prices'!K126)</f>
        <v>1.3523603112139598E-2</v>
      </c>
    </row>
    <row r="129" spans="4:10" x14ac:dyDescent="0.3">
      <c r="D129" s="13">
        <v>121</v>
      </c>
      <c r="E129" s="3">
        <f>LN('Closing Prices'!F128/'Closing Prices'!F127)</f>
        <v>-1.7647516813578228E-2</v>
      </c>
      <c r="F129" s="3">
        <f>LN('Closing Prices'!G128/'Closing Prices'!G127)</f>
        <v>1.0360547046161253E-4</v>
      </c>
      <c r="G129" s="3">
        <f>LN('Closing Prices'!H128/'Closing Prices'!H127)</f>
        <v>8.0412298948051106E-3</v>
      </c>
      <c r="H129" s="3">
        <f>LN('Closing Prices'!I128/'Closing Prices'!I127)</f>
        <v>0</v>
      </c>
      <c r="I129" s="3">
        <f>LN('Closing Prices'!J128/'Closing Prices'!J127)</f>
        <v>6.4308903302903314E-3</v>
      </c>
      <c r="J129" s="4">
        <f>LN('Closing Prices'!K128/'Closing Prices'!K127)</f>
        <v>6.7466839172715823E-3</v>
      </c>
    </row>
    <row r="130" spans="4:10" x14ac:dyDescent="0.3">
      <c r="D130" s="13">
        <v>122</v>
      </c>
      <c r="E130" s="3">
        <f>LN('Closing Prices'!F129/'Closing Prices'!F128)</f>
        <v>7.4181224765932022E-5</v>
      </c>
      <c r="F130" s="3">
        <f>LN('Closing Prices'!G129/'Closing Prices'!G128)</f>
        <v>-1.4873072598955449E-2</v>
      </c>
      <c r="G130" s="3">
        <f>LN('Closing Prices'!H129/'Closing Prices'!H128)</f>
        <v>-1.2778470434233519E-2</v>
      </c>
      <c r="H130" s="3">
        <f>LN('Closing Prices'!I129/'Closing Prices'!I128)</f>
        <v>4.9123148561983814E-3</v>
      </c>
      <c r="I130" s="3">
        <f>LN('Closing Prices'!J129/'Closing Prices'!J128)</f>
        <v>3.4904049397685676E-3</v>
      </c>
      <c r="J130" s="4">
        <f>LN('Closing Prices'!K129/'Closing Prices'!K128)</f>
        <v>6.322125845293047E-3</v>
      </c>
    </row>
    <row r="131" spans="4:10" x14ac:dyDescent="0.3">
      <c r="D131" s="13">
        <v>123</v>
      </c>
      <c r="E131" s="3">
        <f>LN('Closing Prices'!F130/'Closing Prices'!F129)</f>
        <v>8.4943451249425914E-3</v>
      </c>
      <c r="F131" s="3">
        <f>LN('Closing Prices'!G130/'Closing Prices'!G129)</f>
        <v>-7.3633832812083412E-4</v>
      </c>
      <c r="G131" s="3">
        <f>LN('Closing Prices'!H130/'Closing Prices'!H129)</f>
        <v>4.5895409601036143E-3</v>
      </c>
      <c r="H131" s="3">
        <f>LN('Closing Prices'!I130/'Closing Prices'!I129)</f>
        <v>2.4475435205259348E-2</v>
      </c>
      <c r="I131" s="3">
        <f>LN('Closing Prices'!J130/'Closing Prices'!J129)</f>
        <v>-3.7818226891716163E-3</v>
      </c>
      <c r="J131" s="4">
        <f>LN('Closing Prices'!K130/'Closing Prices'!K129)</f>
        <v>2.4065081507577634E-3</v>
      </c>
    </row>
    <row r="132" spans="4:10" x14ac:dyDescent="0.3">
      <c r="D132" s="13">
        <v>124</v>
      </c>
      <c r="E132" s="3">
        <f>LN('Closing Prices'!F131/'Closing Prices'!F130)</f>
        <v>1.1844841269952951E-2</v>
      </c>
      <c r="F132" s="3">
        <f>LN('Closing Prices'!G131/'Closing Prices'!G130)</f>
        <v>-5.5398880703041815E-3</v>
      </c>
      <c r="G132" s="3">
        <f>LN('Closing Prices'!H131/'Closing Prices'!H130)</f>
        <v>1.1552899201778559E-2</v>
      </c>
      <c r="H132" s="3">
        <f>LN('Closing Prices'!I131/'Closing Prices'!I130)</f>
        <v>6.5785294642535562E-3</v>
      </c>
      <c r="I132" s="3">
        <f>LN('Closing Prices'!J131/'Closing Prices'!J130)</f>
        <v>7.6940206804633924E-3</v>
      </c>
      <c r="J132" s="4">
        <f>LN('Closing Prices'!K131/'Closing Prices'!K130)</f>
        <v>4.489201681910672E-3</v>
      </c>
    </row>
    <row r="133" spans="4:10" x14ac:dyDescent="0.3">
      <c r="D133" s="13">
        <v>125</v>
      </c>
      <c r="E133" s="3">
        <f>LN('Closing Prices'!F132/'Closing Prices'!F131)</f>
        <v>5.002729302658525E-3</v>
      </c>
      <c r="F133" s="3">
        <f>LN('Closing Prices'!G132/'Closing Prices'!G131)</f>
        <v>5.0662412440927928E-3</v>
      </c>
      <c r="G133" s="3">
        <f>LN('Closing Prices'!H132/'Closing Prices'!H131)</f>
        <v>-2.0950578931620478E-3</v>
      </c>
      <c r="H133" s="3">
        <f>LN('Closing Prices'!I132/'Closing Prices'!I131)</f>
        <v>1.9384384934148244E-3</v>
      </c>
      <c r="I133" s="3">
        <f>LN('Closing Prices'!J132/'Closing Prices'!J131)</f>
        <v>4.9047992154688403E-3</v>
      </c>
      <c r="J133" s="4">
        <f>LN('Closing Prices'!K132/'Closing Prices'!K131)</f>
        <v>1.3721786070037358E-3</v>
      </c>
    </row>
    <row r="134" spans="4:10" x14ac:dyDescent="0.3">
      <c r="D134" s="13">
        <v>126</v>
      </c>
      <c r="E134" s="3">
        <f>LN('Closing Prices'!F133/'Closing Prices'!F132)</f>
        <v>8.3543878064030481E-3</v>
      </c>
      <c r="F134" s="3">
        <f>LN('Closing Prices'!G133/'Closing Prices'!G132)</f>
        <v>1.2625600077916946E-3</v>
      </c>
      <c r="G134" s="3">
        <f>LN('Closing Prices'!H133/'Closing Prices'!H132)</f>
        <v>-1.4047382268720168E-2</v>
      </c>
      <c r="H134" s="3">
        <f>LN('Closing Prices'!I133/'Closing Prices'!I132)</f>
        <v>1.3346681994594483E-3</v>
      </c>
      <c r="I134" s="3">
        <f>LN('Closing Prices'!J133/'Closing Prices'!J132)</f>
        <v>5.7545678469048936E-4</v>
      </c>
      <c r="J134" s="4">
        <f>LN('Closing Prices'!K133/'Closing Prices'!K132)</f>
        <v>-3.1385701205486785E-3</v>
      </c>
    </row>
    <row r="135" spans="4:10" x14ac:dyDescent="0.3">
      <c r="D135" s="13">
        <v>127</v>
      </c>
      <c r="E135" s="3">
        <f>LN('Closing Prices'!F134/'Closing Prices'!F133)</f>
        <v>5.1505944038676326E-3</v>
      </c>
      <c r="F135" s="3">
        <f>LN('Closing Prices'!G134/'Closing Prices'!G133)</f>
        <v>6.4457186353684068E-3</v>
      </c>
      <c r="G135" s="3">
        <f>LN('Closing Prices'!H134/'Closing Prices'!H133)</f>
        <v>-2.549918995047299E-2</v>
      </c>
      <c r="H135" s="3">
        <f>LN('Closing Prices'!I134/'Closing Prices'!I133)</f>
        <v>2.6780558916086064E-2</v>
      </c>
      <c r="I135" s="3">
        <f>LN('Closing Prices'!J134/'Closing Prices'!J133)</f>
        <v>1.200872186753124E-2</v>
      </c>
      <c r="J135" s="4">
        <f>LN('Closing Prices'!K134/'Closing Prices'!K133)</f>
        <v>-3.2425879376441896E-3</v>
      </c>
    </row>
    <row r="136" spans="4:10" x14ac:dyDescent="0.3">
      <c r="D136" s="13">
        <v>128</v>
      </c>
      <c r="E136" s="3">
        <f>LN('Closing Prices'!F135/'Closing Prices'!F134)</f>
        <v>4.9934016802422412E-4</v>
      </c>
      <c r="F136" s="3">
        <f>LN('Closing Prices'!G135/'Closing Prices'!G134)</f>
        <v>7.2863859373037279E-3</v>
      </c>
      <c r="G136" s="3">
        <f>LN('Closing Prices'!H135/'Closing Prices'!H134)</f>
        <v>7.6082273964972382E-4</v>
      </c>
      <c r="H136" s="3">
        <f>LN('Closing Prices'!I135/'Closing Prices'!I134)</f>
        <v>2.5967281371565E-4</v>
      </c>
      <c r="I136" s="3">
        <f>LN('Closing Prices'!J135/'Closing Prices'!J134)</f>
        <v>5.3855005448893668E-3</v>
      </c>
      <c r="J136" s="4">
        <f>LN('Closing Prices'!K135/'Closing Prices'!K134)</f>
        <v>-6.5879601114381186E-3</v>
      </c>
    </row>
    <row r="137" spans="4:10" x14ac:dyDescent="0.3">
      <c r="D137" s="13">
        <v>129</v>
      </c>
      <c r="E137" s="3">
        <f>LN('Closing Prices'!F136/'Closing Prices'!F135)</f>
        <v>1.3810906868784927E-2</v>
      </c>
      <c r="F137" s="3">
        <f>LN('Closing Prices'!G136/'Closing Prices'!G135)</f>
        <v>2.7963355179798006E-3</v>
      </c>
      <c r="G137" s="3">
        <f>LN('Closing Prices'!H136/'Closing Prices'!H135)</f>
        <v>0</v>
      </c>
      <c r="H137" s="3">
        <f>LN('Closing Prices'!I136/'Closing Prices'!I135)</f>
        <v>-1.188391393692559E-2</v>
      </c>
      <c r="I137" s="3">
        <f>LN('Closing Prices'!J136/'Closing Prices'!J135)</f>
        <v>-8.4841634048436559E-4</v>
      </c>
      <c r="J137" s="4">
        <f>LN('Closing Prices'!K136/'Closing Prices'!K135)</f>
        <v>-1.1033033414512082E-3</v>
      </c>
    </row>
    <row r="138" spans="4:10" x14ac:dyDescent="0.3">
      <c r="D138" s="13">
        <v>130</v>
      </c>
      <c r="E138" s="3">
        <f>LN('Closing Prices'!F137/'Closing Prices'!F136)</f>
        <v>-1.7600060863373159E-3</v>
      </c>
      <c r="F138" s="3">
        <f>LN('Closing Prices'!G137/'Closing Prices'!G136)</f>
        <v>1.0289215169395106E-2</v>
      </c>
      <c r="G138" s="3">
        <f>LN('Closing Prices'!H137/'Closing Prices'!H136)</f>
        <v>0</v>
      </c>
      <c r="H138" s="3">
        <f>LN('Closing Prices'!I137/'Closing Prices'!I136)</f>
        <v>-1.1495138798963661E-2</v>
      </c>
      <c r="I138" s="3">
        <f>LN('Closing Prices'!J137/'Closing Prices'!J136)</f>
        <v>-6.0303116301543315E-3</v>
      </c>
      <c r="J138" s="4">
        <f>LN('Closing Prices'!K137/'Closing Prices'!K136)</f>
        <v>-3.7846021553816179E-3</v>
      </c>
    </row>
    <row r="139" spans="4:10" x14ac:dyDescent="0.3">
      <c r="D139" s="13">
        <v>131</v>
      </c>
      <c r="E139" s="3">
        <f>LN('Closing Prices'!F138/'Closing Prices'!F137)</f>
        <v>1.6896652851264519E-3</v>
      </c>
      <c r="F139" s="3">
        <f>LN('Closing Prices'!G138/'Closing Prices'!G137)</f>
        <v>-1.0702994010511299E-2</v>
      </c>
      <c r="G139" s="3">
        <f>LN('Closing Prices'!H138/'Closing Prices'!H137)</f>
        <v>4.4013932890932866E-3</v>
      </c>
      <c r="H139" s="3">
        <f>LN('Closing Prices'!I138/'Closing Prices'!I137)</f>
        <v>4.17730939309887E-3</v>
      </c>
      <c r="I139" s="3">
        <f>LN('Closing Prices'!J138/'Closing Prices'!J137)</f>
        <v>-4.2786915450316633E-3</v>
      </c>
      <c r="J139" s="4">
        <f>LN('Closing Prices'!K138/'Closing Prices'!K137)</f>
        <v>-1.2343862553841009E-3</v>
      </c>
    </row>
    <row r="140" spans="4:10" x14ac:dyDescent="0.3">
      <c r="D140" s="13">
        <v>132</v>
      </c>
      <c r="E140" s="3">
        <f>LN('Closing Prices'!F139/'Closing Prices'!F138)</f>
        <v>-1.5487507495588607E-3</v>
      </c>
      <c r="F140" s="3">
        <f>LN('Closing Prices'!G139/'Closing Prices'!G138)</f>
        <v>3.620658482153736E-4</v>
      </c>
      <c r="G140" s="3">
        <f>LN('Closing Prices'!H139/'Closing Prices'!H138)</f>
        <v>-3.894499523170765E-3</v>
      </c>
      <c r="H140" s="3">
        <f>LN('Closing Prices'!I139/'Closing Prices'!I138)</f>
        <v>-1.9207211918728681E-3</v>
      </c>
      <c r="I140" s="3">
        <f>LN('Closing Prices'!J139/'Closing Prices'!J138)</f>
        <v>-1.1500162680898155E-2</v>
      </c>
      <c r="J140" s="4">
        <f>LN('Closing Prices'!K139/'Closing Prices'!K138)</f>
        <v>-5.4342232560809093E-3</v>
      </c>
    </row>
    <row r="141" spans="4:10" x14ac:dyDescent="0.3">
      <c r="D141" s="13">
        <v>133</v>
      </c>
      <c r="E141" s="3">
        <f>LN('Closing Prices'!F140/'Closing Prices'!F139)</f>
        <v>-1.1984069672967604E-3</v>
      </c>
      <c r="F141" s="3">
        <f>LN('Closing Prices'!G140/'Closing Prices'!G139)</f>
        <v>2.0683592813801728E-4</v>
      </c>
      <c r="G141" s="3">
        <f>LN('Closing Prices'!H140/'Closing Prices'!H139)</f>
        <v>-1.6607008985594533E-2</v>
      </c>
      <c r="H141" s="3">
        <f>LN('Closing Prices'!I140/'Closing Prices'!I139)</f>
        <v>1.1338288902007094E-2</v>
      </c>
      <c r="I141" s="3">
        <f>LN('Closing Prices'!J140/'Closing Prices'!J139)</f>
        <v>8.4224663746964648E-3</v>
      </c>
      <c r="J141" s="4">
        <f>LN('Closing Prices'!K140/'Closing Prices'!K139)</f>
        <v>-3.0745587770054737E-3</v>
      </c>
    </row>
    <row r="142" spans="4:10" x14ac:dyDescent="0.3">
      <c r="D142" s="13">
        <v>134</v>
      </c>
      <c r="E142" s="3">
        <f>LN('Closing Prices'!F141/'Closing Prices'!F140)</f>
        <v>-1.1421398941458936E-2</v>
      </c>
      <c r="F142" s="3">
        <f>LN('Closing Prices'!G141/'Closing Prices'!G140)</f>
        <v>2.5848476376256438E-4</v>
      </c>
      <c r="G142" s="3">
        <f>LN('Closing Prices'!H141/'Closing Prices'!H140)</f>
        <v>1.0048274845606782E-2</v>
      </c>
      <c r="H142" s="3">
        <f>LN('Closing Prices'!I141/'Closing Prices'!I140)</f>
        <v>0</v>
      </c>
      <c r="I142" s="3">
        <f>LN('Closing Prices'!J141/'Closing Prices'!J140)</f>
        <v>-8.4224663746964752E-3</v>
      </c>
      <c r="J142" s="4">
        <f>LN('Closing Prices'!K141/'Closing Prices'!K140)</f>
        <v>-2.1659331383909646E-3</v>
      </c>
    </row>
    <row r="143" spans="4:10" x14ac:dyDescent="0.3">
      <c r="D143" s="13">
        <v>135</v>
      </c>
      <c r="E143" s="3">
        <f>LN('Closing Prices'!F142/'Closing Prices'!F141)</f>
        <v>1.6396367957786323E-3</v>
      </c>
      <c r="F143" s="3">
        <f>LN('Closing Prices'!G142/'Closing Prices'!G141)</f>
        <v>5.1676917071681171E-4</v>
      </c>
      <c r="G143" s="3">
        <f>LN('Closing Prices'!H142/'Closing Prices'!H141)</f>
        <v>-5.2678807411974376E-3</v>
      </c>
      <c r="H143" s="3">
        <f>LN('Closing Prices'!I142/'Closing Prices'!I141)</f>
        <v>-1.0476819712518869E-2</v>
      </c>
      <c r="I143" s="3">
        <f>LN('Closing Prices'!J142/'Closing Prices'!J141)</f>
        <v>-4.5647291521147175E-3</v>
      </c>
      <c r="J143" s="4">
        <f>LN('Closing Prices'!K142/'Closing Prices'!K141)</f>
        <v>-4.1622124293073709E-4</v>
      </c>
    </row>
    <row r="144" spans="4:10" x14ac:dyDescent="0.3">
      <c r="D144" s="13">
        <v>136</v>
      </c>
      <c r="E144" s="3">
        <f>LN('Closing Prices'!F143/'Closing Prices'!F142)</f>
        <v>-8.5512725227989957E-4</v>
      </c>
      <c r="F144" s="3">
        <f>LN('Closing Prices'!G143/'Closing Prices'!G142)</f>
        <v>-2.7419246853338979E-3</v>
      </c>
      <c r="G144" s="3">
        <f>LN('Closing Prices'!H143/'Closing Prices'!H142)</f>
        <v>5.1658555408843621E-3</v>
      </c>
      <c r="H144" s="3">
        <f>LN('Closing Prices'!I143/'Closing Prices'!I142)</f>
        <v>-3.5832818699123694E-3</v>
      </c>
      <c r="I144" s="3">
        <f>LN('Closing Prices'!J143/'Closing Prices'!J142)</f>
        <v>-1.4534886279831975E-3</v>
      </c>
      <c r="J144" s="4">
        <f>LN('Closing Prices'!K143/'Closing Prices'!K142)</f>
        <v>1.970042861727543E-3</v>
      </c>
    </row>
    <row r="145" spans="4:10" x14ac:dyDescent="0.3">
      <c r="D145" s="13">
        <v>137</v>
      </c>
      <c r="E145" s="3">
        <f>LN('Closing Prices'!F144/'Closing Prices'!F143)</f>
        <v>7.1265681465465882E-4</v>
      </c>
      <c r="F145" s="3">
        <f>LN('Closing Prices'!G144/'Closing Prices'!G143)</f>
        <v>7.7677951136597442E-4</v>
      </c>
      <c r="G145" s="3">
        <f>LN('Closing Prices'!H144/'Closing Prices'!H143)</f>
        <v>-7.5274954104711861E-3</v>
      </c>
      <c r="H145" s="3">
        <f>LN('Closing Prices'!I144/'Closing Prices'!I143)</f>
        <v>1.8637965832525891E-2</v>
      </c>
      <c r="I145" s="3">
        <f>LN('Closing Prices'!J144/'Closing Prices'!J143)</f>
        <v>8.7234666770790023E-4</v>
      </c>
      <c r="J145" s="4">
        <f>LN('Closing Prices'!K144/'Closing Prices'!K143)</f>
        <v>-6.1528126800020145E-3</v>
      </c>
    </row>
    <row r="146" spans="4:10" x14ac:dyDescent="0.3">
      <c r="D146" s="13">
        <v>138</v>
      </c>
      <c r="E146" s="3">
        <f>LN('Closing Prices'!F145/'Closing Prices'!F144)</f>
        <v>-7.1265681465459974E-4</v>
      </c>
      <c r="F146" s="3">
        <f>LN('Closing Prices'!G145/'Closing Prices'!G144)</f>
        <v>1.0352502726772179E-4</v>
      </c>
      <c r="G146" s="3">
        <f>LN('Closing Prices'!H145/'Closing Prices'!H144)</f>
        <v>2.1565011438046447E-3</v>
      </c>
      <c r="H146" s="3">
        <f>LN('Closing Prices'!I145/'Closing Prices'!I144)</f>
        <v>-6.7265276813746638E-2</v>
      </c>
      <c r="I146" s="3">
        <f>LN('Closing Prices'!J145/'Closing Prices'!J144)</f>
        <v>1.6698736954720243E-3</v>
      </c>
      <c r="J146" s="4">
        <f>LN('Closing Prices'!K145/'Closing Prices'!K144)</f>
        <v>-4.7757437147683685E-4</v>
      </c>
    </row>
    <row r="147" spans="4:10" x14ac:dyDescent="0.3">
      <c r="D147" s="13">
        <v>139</v>
      </c>
      <c r="E147" s="3">
        <f>LN('Closing Prices'!F146/'Closing Prices'!F145)</f>
        <v>7.1288540397356799E-5</v>
      </c>
      <c r="F147" s="3">
        <f>LN('Closing Prices'!G146/'Closing Prices'!G145)</f>
        <v>-2.6951400163976341E-3</v>
      </c>
      <c r="G147" s="3">
        <f>LN('Closing Prices'!H146/'Closing Prices'!H145)</f>
        <v>-3.699711326610425E-3</v>
      </c>
      <c r="H147" s="3">
        <f>LN('Closing Prices'!I146/'Closing Prices'!I145)</f>
        <v>0</v>
      </c>
      <c r="I147" s="3">
        <f>LN('Closing Prices'!J146/'Closing Prices'!J145)</f>
        <v>-2.5422203631797792E-3</v>
      </c>
      <c r="J147" s="4">
        <f>LN('Closing Prices'!K146/'Closing Prices'!K145)</f>
        <v>-1.1094377405252494E-2</v>
      </c>
    </row>
    <row r="148" spans="4:10" x14ac:dyDescent="0.3">
      <c r="D148" s="13">
        <v>140</v>
      </c>
      <c r="E148" s="3">
        <f>LN('Closing Prices'!F147/'Closing Prices'!F146)</f>
        <v>1.922872080563669E-3</v>
      </c>
      <c r="F148" s="3">
        <f>LN('Closing Prices'!G147/'Closing Prices'!G146)</f>
        <v>-2.2341733762666488E-3</v>
      </c>
      <c r="G148" s="3">
        <f>LN('Closing Prices'!H147/'Closing Prices'!H146)</f>
        <v>9.0707055932770699E-3</v>
      </c>
      <c r="H148" s="3">
        <f>LN('Closing Prices'!I147/'Closing Prices'!I146)</f>
        <v>8.1321038941890786E-3</v>
      </c>
      <c r="I148" s="3">
        <f>LN('Closing Prices'!J147/'Closing Prices'!J146)</f>
        <v>-1.1483869759469528E-2</v>
      </c>
      <c r="J148" s="4">
        <f>LN('Closing Prices'!K147/'Closing Prices'!K146)</f>
        <v>3.4974238287349868E-3</v>
      </c>
    </row>
    <row r="149" spans="4:10" x14ac:dyDescent="0.3">
      <c r="D149" s="13">
        <v>141</v>
      </c>
      <c r="E149" s="3">
        <f>LN('Closing Prices'!F148/'Closing Prices'!F147)</f>
        <v>-6.0660310896247481E-3</v>
      </c>
      <c r="F149" s="3">
        <f>LN('Closing Prices'!G148/'Closing Prices'!G147)</f>
        <v>-7.0992624729428128E-3</v>
      </c>
      <c r="G149" s="3">
        <f>LN('Closing Prices'!H148/'Closing Prices'!H147)</f>
        <v>-9.0707055932769468E-3</v>
      </c>
      <c r="H149" s="3">
        <f>LN('Closing Prices'!I148/'Closing Prices'!I147)</f>
        <v>1.2656655403377936E-2</v>
      </c>
      <c r="I149" s="3">
        <f>LN('Closing Prices'!J148/'Closing Prices'!J147)</f>
        <v>9.7368901333319581E-3</v>
      </c>
      <c r="J149" s="4">
        <f>LN('Closing Prices'!K148/'Closing Prices'!K147)</f>
        <v>1.0019880653735713E-2</v>
      </c>
    </row>
    <row r="150" spans="4:10" x14ac:dyDescent="0.3">
      <c r="D150" s="13">
        <v>142</v>
      </c>
      <c r="E150" s="3">
        <f>LN('Closing Prices'!F149/'Closing Prices'!F148)</f>
        <v>-2.0063062046634535E-3</v>
      </c>
      <c r="F150" s="3">
        <f>LN('Closing Prices'!G149/'Closing Prices'!G148)</f>
        <v>-1.0479571405346612E-2</v>
      </c>
      <c r="G150" s="3">
        <f>LN('Closing Prices'!H149/'Closing Prices'!H148)</f>
        <v>9.1217194945761079E-3</v>
      </c>
      <c r="H150" s="3">
        <f>LN('Closing Prices'!I149/'Closing Prices'!I148)</f>
        <v>1.0944672657199925E-2</v>
      </c>
      <c r="I150" s="3">
        <f>LN('Closing Prices'!J149/'Closing Prices'!J148)</f>
        <v>-4.454025106411511E-3</v>
      </c>
      <c r="J150" s="4">
        <f>LN('Closing Prices'!K149/'Closing Prices'!K148)</f>
        <v>1.2367943793955897E-2</v>
      </c>
    </row>
    <row r="151" spans="4:10" x14ac:dyDescent="0.3">
      <c r="D151" s="13">
        <v>143</v>
      </c>
      <c r="E151" s="3">
        <f>LN('Closing Prices'!F150/'Closing Prices'!F149)</f>
        <v>1.1977898800515691E-2</v>
      </c>
      <c r="F151" s="3">
        <f>LN('Closing Prices'!G150/'Closing Prices'!G149)</f>
        <v>6.437677238344936E-3</v>
      </c>
      <c r="G151" s="3">
        <f>LN('Closing Prices'!H150/'Closing Prices'!H149)</f>
        <v>4.2251074587322619E-3</v>
      </c>
      <c r="H151" s="3">
        <f>LN('Closing Prices'!I150/'Closing Prices'!I149)</f>
        <v>1.316427097362623E-2</v>
      </c>
      <c r="I151" s="3">
        <f>LN('Closing Prices'!J150/'Closing Prices'!J149)</f>
        <v>-9.2634098670574764E-3</v>
      </c>
      <c r="J151" s="4">
        <f>LN('Closing Prices'!K150/'Closing Prices'!K149)</f>
        <v>-2.6366500735240444E-3</v>
      </c>
    </row>
    <row r="152" spans="4:10" x14ac:dyDescent="0.3">
      <c r="D152" s="13">
        <v>144</v>
      </c>
      <c r="E152" s="3">
        <f>LN('Closing Prices'!F151/'Closing Prices'!F150)</f>
        <v>-9.3991008097853504E-3</v>
      </c>
      <c r="F152" s="3">
        <f>LN('Closing Prices'!G151/'Closing Prices'!G150)</f>
        <v>1.0514142488935179E-3</v>
      </c>
      <c r="G152" s="3">
        <f>LN('Closing Prices'!H151/'Closing Prices'!H150)</f>
        <v>-4.2251074587323313E-3</v>
      </c>
      <c r="H152" s="3">
        <f>LN('Closing Prices'!I151/'Closing Prices'!I150)</f>
        <v>4.6696241801130419E-4</v>
      </c>
      <c r="I152" s="3">
        <f>LN('Closing Prices'!J151/'Closing Prices'!J150)</f>
        <v>2.4344374090098687E-3</v>
      </c>
      <c r="J152" s="4">
        <f>LN('Closing Prices'!K151/'Closing Prices'!K150)</f>
        <v>6.3236673259055749E-3</v>
      </c>
    </row>
    <row r="153" spans="4:10" x14ac:dyDescent="0.3">
      <c r="D153" s="13">
        <v>145</v>
      </c>
      <c r="E153" s="3">
        <f>LN('Closing Prices'!F152/'Closing Prices'!F151)</f>
        <v>9.2960069621163331E-4</v>
      </c>
      <c r="F153" s="3">
        <f>LN('Closing Prices'!G152/'Closing Prices'!G151)</f>
        <v>6.494209479706377E-3</v>
      </c>
      <c r="G153" s="3">
        <f>LN('Closing Prices'!H152/'Closing Prices'!H151)</f>
        <v>-7.9897992255420353E-3</v>
      </c>
      <c r="H153" s="3">
        <f>LN('Closing Prices'!I152/'Closing Prices'!I151)</f>
        <v>-2.0074773168045876E-2</v>
      </c>
      <c r="I153" s="3">
        <f>LN('Closing Prices'!J152/'Closing Prices'!J151)</f>
        <v>2.0925994164681678E-2</v>
      </c>
      <c r="J153" s="4">
        <f>LN('Closing Prices'!K152/'Closing Prices'!K151)</f>
        <v>2.5928959119165515E-4</v>
      </c>
    </row>
    <row r="154" spans="4:10" x14ac:dyDescent="0.3">
      <c r="D154" s="13">
        <v>146</v>
      </c>
      <c r="E154" s="3">
        <f>LN('Closing Prices'!F153/'Closing Prices'!F152)</f>
        <v>1.2430461580282022E-2</v>
      </c>
      <c r="F154" s="3">
        <f>LN('Closing Prices'!G153/'Closing Prices'!G152)</f>
        <v>1.6156109490844929E-2</v>
      </c>
      <c r="G154" s="3">
        <f>LN('Closing Prices'!H153/'Closing Prices'!H152)</f>
        <v>0</v>
      </c>
      <c r="H154" s="3">
        <f>LN('Closing Prices'!I153/'Closing Prices'!I152)</f>
        <v>2.0541517633928745E-2</v>
      </c>
      <c r="I154" s="3">
        <f>LN('Closing Prices'!J153/'Closing Prices'!J152)</f>
        <v>-7.2181322608473293E-4</v>
      </c>
      <c r="J154" s="4">
        <f>LN('Closing Prices'!K153/'Closing Prices'!K152)</f>
        <v>-3.313156640066121E-3</v>
      </c>
    </row>
    <row r="155" spans="4:10" x14ac:dyDescent="0.3">
      <c r="D155" s="13">
        <v>147</v>
      </c>
      <c r="E155" s="3">
        <f>LN('Closing Prices'!F154/'Closing Prices'!F153)</f>
        <v>1.1650072111276643E-2</v>
      </c>
      <c r="F155" s="3">
        <f>LN('Closing Prices'!G154/'Closing Prices'!G153)</f>
        <v>0.70199430671580143</v>
      </c>
      <c r="G155" s="3">
        <f>LN('Closing Prices'!H154/'Closing Prices'!H153)</f>
        <v>1.0740692452916378E-2</v>
      </c>
      <c r="H155" s="3">
        <f>LN('Closing Prices'!I154/'Closing Prices'!I153)</f>
        <v>1.9474490762292192E-2</v>
      </c>
      <c r="I155" s="3">
        <f>LN('Closing Prices'!J154/'Closing Prices'!J153)</f>
        <v>1.980404312614973E-2</v>
      </c>
      <c r="J155" s="4">
        <f>LN('Closing Prices'!K154/'Closing Prices'!K153)</f>
        <v>-5.8741725627248654E-3</v>
      </c>
    </row>
    <row r="156" spans="4:10" x14ac:dyDescent="0.3">
      <c r="D156" s="13">
        <v>148</v>
      </c>
      <c r="E156" s="3">
        <f>LN('Closing Prices'!F155/'Closing Prices'!F154)</f>
        <v>2.2302769211290634E-3</v>
      </c>
      <c r="F156" s="3">
        <f>LN('Closing Prices'!G155/'Closing Prices'!G154)</f>
        <v>2.5453712561391385E-4</v>
      </c>
      <c r="G156" s="3">
        <f>LN('Closing Prices'!H155/'Closing Prices'!H154)</f>
        <v>8.9137080438892805E-3</v>
      </c>
      <c r="H156" s="3">
        <f>LN('Closing Prices'!I155/'Closing Prices'!I154)</f>
        <v>1.6330800245711163E-3</v>
      </c>
      <c r="I156" s="3">
        <f>LN('Closing Prices'!J155/'Closing Prices'!J154)</f>
        <v>-2.4098105077391759E-3</v>
      </c>
      <c r="J156" s="4">
        <f>LN('Closing Prices'!K155/'Closing Prices'!K154)</f>
        <v>-1.1017009488713475E-2</v>
      </c>
    </row>
    <row r="157" spans="4:10" x14ac:dyDescent="0.3">
      <c r="D157" s="13">
        <v>149</v>
      </c>
      <c r="E157" s="3">
        <f>LN('Closing Prices'!F156/'Closing Prices'!F155)</f>
        <v>6.6611403667822221E-3</v>
      </c>
      <c r="F157" s="3">
        <f>LN('Closing Prices'!G156/'Closing Prices'!G155)</f>
        <v>1.3448809812613002E-2</v>
      </c>
      <c r="G157" s="3">
        <f>LN('Closing Prices'!H156/'Closing Prices'!H155)</f>
        <v>1.6625107736134572E-3</v>
      </c>
      <c r="H157" s="3">
        <f>LN('Closing Prices'!I156/'Closing Prices'!I155)</f>
        <v>-2.9542484901923041E-2</v>
      </c>
      <c r="I157" s="3">
        <f>LN('Closing Prices'!J156/'Closing Prices'!J155)</f>
        <v>1.1009285508369175E-2</v>
      </c>
      <c r="J157" s="4">
        <f>LN('Closing Prices'!K156/'Closing Prices'!K155)</f>
        <v>7.8671881726200758E-4</v>
      </c>
    </row>
    <row r="158" spans="4:10" x14ac:dyDescent="0.3">
      <c r="D158" s="13">
        <v>150</v>
      </c>
      <c r="E158" s="3">
        <f>LN('Closing Prices'!F157/'Closing Prices'!F156)</f>
        <v>-1.070718704442662E-2</v>
      </c>
      <c r="F158" s="3">
        <f>LN('Closing Prices'!G157/'Closing Prices'!G156)</f>
        <v>-1.5077652753374502E-3</v>
      </c>
      <c r="G158" s="3">
        <f>LN('Closing Prices'!H157/'Closing Prices'!H156)</f>
        <v>1.5583174193023411E-2</v>
      </c>
      <c r="H158" s="3">
        <f>LN('Closing Prices'!I157/'Closing Prices'!I156)</f>
        <v>5.9653650542062214E-3</v>
      </c>
      <c r="I158" s="3">
        <f>LN('Closing Prices'!J157/'Closing Prices'!J156)</f>
        <v>-8.3163492909244553E-3</v>
      </c>
      <c r="J158" s="4">
        <f>LN('Closing Prices'!K157/'Closing Prices'!K156)</f>
        <v>-5.7216608805567837E-3</v>
      </c>
    </row>
    <row r="159" spans="4:10" x14ac:dyDescent="0.3">
      <c r="D159" s="13">
        <v>151</v>
      </c>
      <c r="E159" s="3">
        <f>LN('Closing Prices'!F158/'Closing Prices'!F157)</f>
        <v>3.9764257634936897E-3</v>
      </c>
      <c r="F159" s="3">
        <f>LN('Closing Prices'!G158/'Closing Prices'!G157)</f>
        <v>1.4575430419440912E-3</v>
      </c>
      <c r="G159" s="3">
        <f>LN('Closing Prices'!H158/'Closing Prices'!H157)</f>
        <v>-1.4868783017508094E-4</v>
      </c>
      <c r="H159" s="3">
        <f>LN('Closing Prices'!I158/'Closing Prices'!I157)</f>
        <v>-1.3366303568657046E-4</v>
      </c>
      <c r="I159" s="3">
        <f>LN('Closing Prices'!J158/'Closing Prices'!J157)</f>
        <v>5.0121879664399554E-3</v>
      </c>
      <c r="J159" s="4">
        <f>LN('Closing Prices'!K158/'Closing Prices'!K157)</f>
        <v>2.869340859236829E-3</v>
      </c>
    </row>
    <row r="160" spans="4:10" x14ac:dyDescent="0.3">
      <c r="D160" s="13">
        <v>152</v>
      </c>
      <c r="E160" s="3">
        <f>LN('Closing Prices'!F159/'Closing Prices'!F158)</f>
        <v>-1.1842977454430328E-3</v>
      </c>
      <c r="F160" s="3">
        <f>LN('Closing Prices'!G159/'Closing Prices'!G158)</f>
        <v>6.2583126634728264E-3</v>
      </c>
      <c r="G160" s="3">
        <f>LN('Closing Prices'!H159/'Closing Prices'!H158)</f>
        <v>6.1274095946183471E-3</v>
      </c>
      <c r="H160" s="3">
        <f>LN('Closing Prices'!I159/'Closing Prices'!I158)</f>
        <v>-3.8285446868258285E-2</v>
      </c>
      <c r="I160" s="3">
        <f>LN('Closing Prices'!J159/'Closing Prices'!J158)</f>
        <v>-2.7412666588343473E-2</v>
      </c>
      <c r="J160" s="4">
        <f>LN('Closing Prices'!K159/'Closing Prices'!K158)</f>
        <v>-8.4434553879390983E-3</v>
      </c>
    </row>
    <row r="161" spans="4:10" x14ac:dyDescent="0.3">
      <c r="D161" s="13">
        <v>153</v>
      </c>
      <c r="E161" s="3">
        <f>LN('Closing Prices'!F160/'Closing Prices'!F159)</f>
        <v>-5.1015170566112511E-3</v>
      </c>
      <c r="F161" s="3">
        <f>LN('Closing Prices'!G160/'Closing Prices'!G159)</f>
        <v>-6.2583126634727882E-3</v>
      </c>
      <c r="G161" s="3">
        <f>LN('Closing Prices'!H160/'Closing Prices'!H159)</f>
        <v>-1.4139595082366417E-2</v>
      </c>
      <c r="H161" s="3">
        <f>LN('Closing Prices'!I160/'Closing Prices'!I159)</f>
        <v>-2.9209284276636763E-3</v>
      </c>
      <c r="I161" s="3">
        <f>LN('Closing Prices'!J160/'Closing Prices'!J159)</f>
        <v>-5.7340022828426375E-3</v>
      </c>
      <c r="J161" s="4">
        <f>LN('Closing Prices'!K160/'Closing Prices'!K159)</f>
        <v>1.1119533675641674E-2</v>
      </c>
    </row>
    <row r="162" spans="4:10" x14ac:dyDescent="0.3">
      <c r="D162" s="13">
        <v>154</v>
      </c>
      <c r="E162" s="3">
        <f>LN('Closing Prices'!F161/'Closing Prices'!F160)</f>
        <v>-4.5644543978171342E-3</v>
      </c>
      <c r="F162" s="3">
        <f>LN('Closing Prices'!G161/'Closing Prices'!G160)</f>
        <v>-5.4389014571541421E-3</v>
      </c>
      <c r="G162" s="3">
        <f>LN('Closing Prices'!H161/'Closing Prices'!H160)</f>
        <v>-1.1659595350615354E-2</v>
      </c>
      <c r="H162" s="3">
        <f>LN('Closing Prices'!I161/'Closing Prices'!I160)</f>
        <v>8.2539050176154011E-3</v>
      </c>
      <c r="I162" s="3">
        <f>LN('Closing Prices'!J161/'Closing Prices'!J160)</f>
        <v>6.3851617313832642E-3</v>
      </c>
      <c r="J162" s="4">
        <f>LN('Closing Prices'!K161/'Closing Prices'!K160)</f>
        <v>-1.2014740995521342E-3</v>
      </c>
    </row>
    <row r="163" spans="4:10" x14ac:dyDescent="0.3">
      <c r="D163" s="13">
        <v>155</v>
      </c>
      <c r="E163" s="3">
        <f>LN('Closing Prices'!F162/'Closing Prices'!F161)</f>
        <v>8.4423812528049082E-4</v>
      </c>
      <c r="F163" s="3">
        <f>LN('Closing Prices'!G162/'Closing Prices'!G161)</f>
        <v>-5.2655683405248453E-3</v>
      </c>
      <c r="G163" s="3">
        <f>LN('Closing Prices'!H162/'Closing Prices'!H161)</f>
        <v>4.7908510908130078E-3</v>
      </c>
      <c r="H163" s="3">
        <f>LN('Closing Prices'!I162/'Closing Prices'!I161)</f>
        <v>-1.4682099316060168E-2</v>
      </c>
      <c r="I163" s="3">
        <f>LN('Closing Prices'!J162/'Closing Prices'!J161)</f>
        <v>-1.5924722873161008E-3</v>
      </c>
      <c r="J163" s="4">
        <f>LN('Closing Prices'!K162/'Closing Prices'!K161)</f>
        <v>5.7912396119071735E-3</v>
      </c>
    </row>
    <row r="164" spans="4:10" x14ac:dyDescent="0.3">
      <c r="D164" s="13">
        <v>156</v>
      </c>
      <c r="E164" s="3">
        <f>LN('Closing Prices'!F163/'Closing Prices'!F162)</f>
        <v>1.0214879277514927E-2</v>
      </c>
      <c r="F164" s="3">
        <f>LN('Closing Prices'!G163/'Closing Prices'!G162)</f>
        <v>1.2961976964572262E-2</v>
      </c>
      <c r="G164" s="3">
        <f>LN('Closing Prices'!H163/'Closing Prices'!H162)</f>
        <v>-1.4544052452012587E-2</v>
      </c>
      <c r="H164" s="3">
        <f>LN('Closing Prices'!I163/'Closing Prices'!I162)</f>
        <v>-1.7539556185556565E-3</v>
      </c>
      <c r="I164" s="3">
        <f>LN('Closing Prices'!J163/'Closing Prices'!J162)</f>
        <v>4.1928782600359578E-3</v>
      </c>
      <c r="J164" s="4">
        <f>LN('Closing Prices'!K163/'Closing Prices'!K162)</f>
        <v>2.7114117038645929E-3</v>
      </c>
    </row>
    <row r="165" spans="4:10" x14ac:dyDescent="0.3">
      <c r="D165" s="13">
        <v>157</v>
      </c>
      <c r="E165" s="3">
        <f>LN('Closing Prices'!F164/'Closing Prices'!F163)</f>
        <v>-4.8738034036987019E-4</v>
      </c>
      <c r="F165" s="3">
        <f>LN('Closing Prices'!G164/'Closing Prices'!G163)</f>
        <v>-1.0933475837940474E-2</v>
      </c>
      <c r="G165" s="3">
        <f>LN('Closing Prices'!H164/'Closing Prices'!H163)</f>
        <v>8.5898517952310415E-3</v>
      </c>
      <c r="H165" s="3">
        <f>LN('Closing Prices'!I164/'Closing Prices'!I163)</f>
        <v>2.8748748896277551E-3</v>
      </c>
      <c r="I165" s="3">
        <f>LN('Closing Prices'!J164/'Closing Prices'!J163)</f>
        <v>-1.3362580819888661E-2</v>
      </c>
      <c r="J165" s="4">
        <f>LN('Closing Prices'!K164/'Closing Prices'!K163)</f>
        <v>-8.2026987324968076E-3</v>
      </c>
    </row>
    <row r="166" spans="4:10" x14ac:dyDescent="0.3">
      <c r="D166" s="13">
        <v>158</v>
      </c>
      <c r="E166" s="3">
        <f>LN('Closing Prices'!F165/'Closing Prices'!F164)</f>
        <v>3.0595949046730731E-3</v>
      </c>
      <c r="F166" s="3">
        <f>LN('Closing Prices'!G165/'Closing Prices'!G164)</f>
        <v>1.0833250330464944E-2</v>
      </c>
      <c r="G166" s="3">
        <f>LN('Closing Prices'!H165/'Closing Prices'!H164)</f>
        <v>-1.1810960493320493E-2</v>
      </c>
      <c r="H166" s="3">
        <f>LN('Closing Prices'!I165/'Closing Prices'!I164)</f>
        <v>-3.5773194253954431E-3</v>
      </c>
      <c r="I166" s="3">
        <f>LN('Closing Prices'!J165/'Closing Prices'!J164)</f>
        <v>1.5668389594785035E-2</v>
      </c>
      <c r="J166" s="4">
        <f>LN('Closing Prices'!K165/'Closing Prices'!K164)</f>
        <v>1.0586078687979443E-2</v>
      </c>
    </row>
    <row r="167" spans="4:10" x14ac:dyDescent="0.3">
      <c r="D167" s="13">
        <v>159</v>
      </c>
      <c r="E167" s="3">
        <f>LN('Closing Prices'!F166/'Closing Prices'!F165)</f>
        <v>2.288568563629106E-3</v>
      </c>
      <c r="F167" s="3">
        <f>LN('Closing Prices'!G166/'Closing Prices'!G165)</f>
        <v>-5.0744952763736133E-3</v>
      </c>
      <c r="G167" s="3">
        <f>LN('Closing Prices'!H166/'Closing Prices'!H165)</f>
        <v>1.9976328441286793E-2</v>
      </c>
      <c r="H167" s="3">
        <f>LN('Closing Prices'!I166/'Closing Prices'!I165)</f>
        <v>9.6504245455467288E-3</v>
      </c>
      <c r="I167" s="3">
        <f>LN('Closing Prices'!J166/'Closing Prices'!J165)</f>
        <v>2.4441101951987155E-3</v>
      </c>
      <c r="J167" s="4">
        <f>LN('Closing Prices'!K166/'Closing Prices'!K165)</f>
        <v>5.1623127364551795E-3</v>
      </c>
    </row>
    <row r="168" spans="4:10" x14ac:dyDescent="0.3">
      <c r="D168" s="13">
        <v>160</v>
      </c>
      <c r="E168" s="3">
        <f>LN('Closing Prices'!F167/'Closing Prices'!F166)</f>
        <v>5.5401663466926837E-4</v>
      </c>
      <c r="F168" s="3">
        <f>LN('Closing Prices'!G167/'Closing Prices'!G166)</f>
        <v>-3.8860479396615444E-3</v>
      </c>
      <c r="G168" s="3">
        <f>LN('Closing Prices'!H167/'Closing Prices'!H166)</f>
        <v>5.1571024298263978E-3</v>
      </c>
      <c r="H168" s="3">
        <f>LN('Closing Prices'!I167/'Closing Prices'!I166)</f>
        <v>-1.3919821848765184E-4</v>
      </c>
      <c r="I168" s="3">
        <f>LN('Closing Prices'!J167/'Closing Prices'!J166)</f>
        <v>-7.9008802817148499E-4</v>
      </c>
      <c r="J168" s="4">
        <f>LN('Closing Prices'!K167/'Closing Prices'!K166)</f>
        <v>-1.1381186218385579E-3</v>
      </c>
    </row>
    <row r="169" spans="4:10" x14ac:dyDescent="0.3">
      <c r="D169" s="13">
        <v>161</v>
      </c>
      <c r="E169" s="3">
        <f>LN('Closing Prices'!F168/'Closing Prices'!F167)</f>
        <v>1.2931807673353149E-2</v>
      </c>
      <c r="F169" s="3">
        <f>LN('Closing Prices'!G168/'Closing Prices'!G167)</f>
        <v>7.2551708811720156E-3</v>
      </c>
      <c r="G169" s="3">
        <f>LN('Closing Prices'!H168/'Closing Prices'!H167)</f>
        <v>2.9959554825369108E-4</v>
      </c>
      <c r="H169" s="3">
        <f>LN('Closing Prices'!I168/'Closing Prices'!I167)</f>
        <v>1.6293077029752322E-2</v>
      </c>
      <c r="I169" s="3">
        <f>LN('Closing Prices'!J168/'Closing Prices'!J167)</f>
        <v>1.4126947267736261E-2</v>
      </c>
      <c r="J169" s="4">
        <f>LN('Closing Prices'!K168/'Closing Prices'!K167)</f>
        <v>-6.9961008776353523E-3</v>
      </c>
    </row>
    <row r="170" spans="4:10" x14ac:dyDescent="0.3">
      <c r="D170" s="13">
        <v>162</v>
      </c>
      <c r="E170" s="3">
        <f>LN('Closing Prices'!F169/'Closing Prices'!F168)</f>
        <v>5.7244261539633606E-3</v>
      </c>
      <c r="F170" s="3">
        <f>LN('Closing Prices'!G169/'Closing Prices'!G168)</f>
        <v>1.0089491713406859E-2</v>
      </c>
      <c r="G170" s="3">
        <f>LN('Closing Prices'!H169/'Closing Prices'!H168)</f>
        <v>-3.000002250003003E-3</v>
      </c>
      <c r="H170" s="3">
        <f>LN('Closing Prices'!I169/'Closing Prices'!I168)</f>
        <v>1.3737974495220307E-2</v>
      </c>
      <c r="I170" s="3">
        <f>LN('Closing Prices'!J169/'Closing Prices'!J168)</f>
        <v>-1.2690887568080044E-2</v>
      </c>
      <c r="J170" s="4">
        <f>LN('Closing Prices'!K169/'Closing Prices'!K168)</f>
        <v>7.3198580278370801E-3</v>
      </c>
    </row>
    <row r="171" spans="4:10" x14ac:dyDescent="0.3">
      <c r="D171" s="13">
        <v>163</v>
      </c>
      <c r="E171" s="3">
        <f>LN('Closing Prices'!F170/'Closing Prices'!F169)</f>
        <v>6.6373423485696055E-3</v>
      </c>
      <c r="F171" s="3">
        <f>LN('Closing Prices'!G170/'Closing Prices'!G169)</f>
        <v>2.9773741724781269E-3</v>
      </c>
      <c r="G171" s="3">
        <f>LN('Closing Prices'!H170/'Closing Prices'!H169)</f>
        <v>-2.3061122166868168E-3</v>
      </c>
      <c r="H171" s="3">
        <f>LN('Closing Prices'!I170/'Closing Prices'!I169)</f>
        <v>-7.3896136407301128E-3</v>
      </c>
      <c r="I171" s="3">
        <f>LN('Closing Prices'!J170/'Closing Prices'!J169)</f>
        <v>-2.5144594590784234E-3</v>
      </c>
      <c r="J171" s="4">
        <f>LN('Closing Prices'!K170/'Closing Prices'!K169)</f>
        <v>1.2363082511058754E-2</v>
      </c>
    </row>
    <row r="172" spans="4:10" x14ac:dyDescent="0.3">
      <c r="D172" s="13">
        <v>164</v>
      </c>
      <c r="E172" s="3">
        <f>LN('Closing Prices'!F171/'Closing Prices'!F170)</f>
        <v>6.7480939196130592E-4</v>
      </c>
      <c r="F172" s="3">
        <f>LN('Closing Prices'!G171/'Closing Prices'!G170)</f>
        <v>3.7586592222684499E-3</v>
      </c>
      <c r="G172" s="3">
        <f>LN('Closing Prices'!H171/'Closing Prices'!H170)</f>
        <v>-6.9504183100061743E-3</v>
      </c>
      <c r="H172" s="3">
        <f>LN('Closing Prices'!I171/'Closing Prices'!I170)</f>
        <v>2.6456924866933157E-2</v>
      </c>
      <c r="I172" s="3">
        <f>LN('Closing Prices'!J171/'Closing Prices'!J170)</f>
        <v>1.4213002176798844E-2</v>
      </c>
      <c r="J172" s="4">
        <f>LN('Closing Prices'!K171/'Closing Prices'!K170)</f>
        <v>5.4483919112316556E-3</v>
      </c>
    </row>
    <row r="173" spans="4:10" x14ac:dyDescent="0.3">
      <c r="D173" s="13">
        <v>165</v>
      </c>
      <c r="E173" s="3">
        <f>LN('Closing Prices'!F172/'Closing Prices'!F171)</f>
        <v>2.5601307522189155E-3</v>
      </c>
      <c r="F173" s="3">
        <f>LN('Closing Prices'!G172/'Closing Prices'!G171)</f>
        <v>-2.0754071787123067E-3</v>
      </c>
      <c r="G173" s="3">
        <f>LN('Closing Prices'!H172/'Closing Prices'!H171)</f>
        <v>-9.598123604113688E-3</v>
      </c>
      <c r="H173" s="3">
        <f>LN('Closing Prices'!I172/'Closing Prices'!I171)</f>
        <v>6.6050438279240424E-3</v>
      </c>
      <c r="I173" s="3">
        <f>LN('Closing Prices'!J172/'Closing Prices'!J171)</f>
        <v>4.9519059876403163E-3</v>
      </c>
      <c r="J173" s="4">
        <f>LN('Closing Prices'!K172/'Closing Prices'!K171)</f>
        <v>-4.5990074493724078E-3</v>
      </c>
    </row>
    <row r="174" spans="4:10" x14ac:dyDescent="0.3">
      <c r="D174" s="13">
        <v>166</v>
      </c>
      <c r="E174" s="3">
        <f>LN('Closing Prices'!F173/'Closing Prices'!F172)</f>
        <v>1.4791907490986369E-3</v>
      </c>
      <c r="F174" s="3">
        <f>LN('Closing Prices'!G173/'Closing Prices'!G172)</f>
        <v>-6.501102274647506E-3</v>
      </c>
      <c r="G174" s="3">
        <f>LN('Closing Prices'!H173/'Closing Prices'!H172)</f>
        <v>6.6117624648146175E-3</v>
      </c>
      <c r="H174" s="3">
        <f>LN('Closing Prices'!I173/'Closing Prices'!I172)</f>
        <v>-3.4952388272533261E-3</v>
      </c>
      <c r="I174" s="3">
        <f>LN('Closing Prices'!J173/'Closing Prices'!J172)</f>
        <v>-2.1036893735230103E-2</v>
      </c>
      <c r="J174" s="4">
        <f>LN('Closing Prices'!K173/'Closing Prices'!K172)</f>
        <v>2.4647036472051054E-3</v>
      </c>
    </row>
    <row r="175" spans="4:10" x14ac:dyDescent="0.3">
      <c r="D175" s="13">
        <v>167</v>
      </c>
      <c r="E175" s="3">
        <f>LN('Closing Prices'!F174/'Closing Prices'!F173)</f>
        <v>-7.6210114259134508E-3</v>
      </c>
      <c r="F175" s="3">
        <f>LN('Closing Prices'!G174/'Closing Prices'!G173)</f>
        <v>-1.9436352085711256E-3</v>
      </c>
      <c r="G175" s="3">
        <f>LN('Closing Prices'!H174/'Closing Prices'!H173)</f>
        <v>-3.0969994037674049E-3</v>
      </c>
      <c r="H175" s="3">
        <f>LN('Closing Prices'!I174/'Closing Prices'!I173)</f>
        <v>1.5183024337974218E-3</v>
      </c>
      <c r="I175" s="3">
        <f>LN('Closing Prices'!J174/'Closing Prices'!J173)</f>
        <v>2.9503853302131622E-3</v>
      </c>
      <c r="J175" s="4">
        <f>LN('Closing Prices'!K174/'Closing Prices'!K173)</f>
        <v>-4.4283900412768534E-3</v>
      </c>
    </row>
    <row r="176" spans="4:10" x14ac:dyDescent="0.3">
      <c r="D176" s="13">
        <v>168</v>
      </c>
      <c r="E176" s="3">
        <f>LN('Closing Prices'!F175/'Closing Prices'!F174)</f>
        <v>4.2560442559037692E-3</v>
      </c>
      <c r="F176" s="3">
        <f>LN('Closing Prices'!G175/'Closing Prices'!G174)</f>
        <v>4.7775546232783732E-3</v>
      </c>
      <c r="G176" s="3">
        <f>LN('Closing Prices'!H175/'Closing Prices'!H174)</f>
        <v>7.727738599985727E-2</v>
      </c>
      <c r="H176" s="3">
        <f>LN('Closing Prices'!I175/'Closing Prices'!I174)</f>
        <v>-1.9790876470567959E-4</v>
      </c>
      <c r="I176" s="3">
        <f>LN('Closing Prices'!J175/'Closing Prices'!J174)</f>
        <v>0</v>
      </c>
      <c r="J176" s="4">
        <f>LN('Closing Prices'!K175/'Closing Prices'!K174)</f>
        <v>6.1912806975529576E-3</v>
      </c>
    </row>
    <row r="177" spans="4:10" x14ac:dyDescent="0.3">
      <c r="D177" s="13">
        <v>169</v>
      </c>
      <c r="E177" s="3">
        <f>LN('Closing Prices'!F176/'Closing Prices'!F175)</f>
        <v>3.4993306233524067E-3</v>
      </c>
      <c r="F177" s="3">
        <f>LN('Closing Prices'!G176/'Closing Prices'!G175)</f>
        <v>5.0018675534874392E-3</v>
      </c>
      <c r="G177" s="3">
        <f>LN('Closing Prices'!H176/'Closing Prices'!H175)</f>
        <v>8.2031069128573764E-3</v>
      </c>
      <c r="H177" s="3">
        <f>LN('Closing Prices'!I176/'Closing Prices'!I175)</f>
        <v>2.3989156370022576E-2</v>
      </c>
      <c r="I177" s="3">
        <f>LN('Closing Prices'!J176/'Closing Prices'!J175)</f>
        <v>8.0155012989190696E-3</v>
      </c>
      <c r="J177" s="4">
        <f>LN('Closing Prices'!K176/'Closing Prices'!K175)</f>
        <v>2.251974627512024E-3</v>
      </c>
    </row>
    <row r="178" spans="4:10" x14ac:dyDescent="0.3">
      <c r="D178" s="13">
        <v>170</v>
      </c>
      <c r="E178" s="3">
        <f>LN('Closing Prices'!F177/'Closing Prices'!F176)</f>
        <v>-1.0127694424767943E-2</v>
      </c>
      <c r="F178" s="3">
        <f>LN('Closing Prices'!G177/'Closing Prices'!G176)</f>
        <v>-8.533067602084287E-3</v>
      </c>
      <c r="G178" s="3">
        <f>LN('Closing Prices'!H177/'Closing Prices'!H176)</f>
        <v>1.3124826085951655E-2</v>
      </c>
      <c r="H178" s="3">
        <f>LN('Closing Prices'!I177/'Closing Prices'!I176)</f>
        <v>1.4071226733445612E-2</v>
      </c>
      <c r="I178" s="3">
        <f>LN('Closing Prices'!J177/'Closing Prices'!J176)</f>
        <v>1.5349549819526761E-2</v>
      </c>
      <c r="J178" s="4">
        <f>LN('Closing Prices'!K177/'Closing Prices'!K176)</f>
        <v>-9.9527624998230983E-4</v>
      </c>
    </row>
    <row r="179" spans="4:10" x14ac:dyDescent="0.3">
      <c r="D179" s="13">
        <v>171</v>
      </c>
      <c r="E179" s="3">
        <f>LN('Closing Prices'!F178/'Closing Prices'!F177)</f>
        <v>-5.3072180092925605E-3</v>
      </c>
      <c r="F179" s="3">
        <f>LN('Closing Prices'!G178/'Closing Prices'!G177)</f>
        <v>-3.2937448681576529E-3</v>
      </c>
      <c r="G179" s="3">
        <f>LN('Closing Prices'!H178/'Closing Prices'!H177)</f>
        <v>-4.7106723603483726E-3</v>
      </c>
      <c r="H179" s="3">
        <f>LN('Closing Prices'!I178/'Closing Prices'!I177)</f>
        <v>-2.2890580351851556E-3</v>
      </c>
      <c r="I179" s="3">
        <f>LN('Closing Prices'!J178/'Closing Prices'!J177)</f>
        <v>-8.3175216945578379E-3</v>
      </c>
      <c r="J179" s="4">
        <f>LN('Closing Prices'!K178/'Closing Prices'!K177)</f>
        <v>-5.9925497241817022E-3</v>
      </c>
    </row>
    <row r="180" spans="4:10" x14ac:dyDescent="0.3">
      <c r="D180" s="13">
        <v>172</v>
      </c>
      <c r="E180" s="3">
        <f>LN('Closing Prices'!F179/'Closing Prices'!F178)</f>
        <v>-2.7668108808221716E-2</v>
      </c>
      <c r="F180" s="3">
        <f>LN('Closing Prices'!G179/'Closing Prices'!G178)</f>
        <v>-2.1780087305570493E-2</v>
      </c>
      <c r="G180" s="3">
        <f>LN('Closing Prices'!H179/'Closing Prices'!H178)</f>
        <v>2.3119259384490401E-3</v>
      </c>
      <c r="H180" s="3">
        <f>LN('Closing Prices'!I179/'Closing Prices'!I178)</f>
        <v>8.4939658751030569E-3</v>
      </c>
      <c r="I180" s="3">
        <f>LN('Closing Prices'!J179/'Closing Prices'!J178)</f>
        <v>1.1121392871176439E-2</v>
      </c>
      <c r="J180" s="4">
        <f>LN('Closing Prices'!K179/'Closing Prices'!K178)</f>
        <v>-1.1311016568095E-3</v>
      </c>
    </row>
    <row r="181" spans="4:10" x14ac:dyDescent="0.3">
      <c r="D181" s="13">
        <v>173</v>
      </c>
      <c r="E181" s="3">
        <f>LN('Closing Prices'!F180/'Closing Prices'!F179)</f>
        <v>-4.9921003655882682E-3</v>
      </c>
      <c r="F181" s="3">
        <f>LN('Closing Prices'!G180/'Closing Prices'!G179)</f>
        <v>1.4958573167324313E-2</v>
      </c>
      <c r="G181" s="3">
        <f>LN('Closing Prices'!H180/'Closing Prices'!H179)</f>
        <v>-1.1473289337821975E-2</v>
      </c>
      <c r="H181" s="3">
        <f>LN('Closing Prices'!I180/'Closing Prices'!I179)</f>
        <v>1.1355035285169758E-3</v>
      </c>
      <c r="I181" s="3">
        <f>LN('Closing Prices'!J180/'Closing Prices'!J179)</f>
        <v>3.2640782439545726E-2</v>
      </c>
      <c r="J181" s="4">
        <f>LN('Closing Prices'!K180/'Closing Prices'!K179)</f>
        <v>8.0720631821228211E-3</v>
      </c>
    </row>
    <row r="182" spans="4:10" x14ac:dyDescent="0.3">
      <c r="D182" s="13">
        <v>174</v>
      </c>
      <c r="E182" s="3">
        <f>LN('Closing Prices'!F181/'Closing Prices'!F180)</f>
        <v>5.412828230990885E-3</v>
      </c>
      <c r="F182" s="3">
        <f>LN('Closing Prices'!G181/'Closing Prices'!G180)</f>
        <v>4.7198320195645039E-3</v>
      </c>
      <c r="G182" s="3">
        <f>LN('Closing Prices'!H181/'Closing Prices'!H180)</f>
        <v>1.4056316604248959E-2</v>
      </c>
      <c r="H182" s="3">
        <f>LN('Closing Prices'!I181/'Closing Prices'!I180)</f>
        <v>-1.6405859308196425E-3</v>
      </c>
      <c r="I182" s="3">
        <f>LN('Closing Prices'!J181/'Closing Prices'!J180)</f>
        <v>2.7096599542582404E-4</v>
      </c>
      <c r="J182" s="4">
        <f>LN('Closing Prices'!K181/'Closing Prices'!K180)</f>
        <v>3.6594599285012476E-3</v>
      </c>
    </row>
    <row r="183" spans="4:10" x14ac:dyDescent="0.3">
      <c r="D183" s="13">
        <v>175</v>
      </c>
      <c r="E183" s="3">
        <f>LN('Closing Prices'!F182/'Closing Prices'!F181)</f>
        <v>3.0799408359319246E-3</v>
      </c>
      <c r="F183" s="3">
        <f>LN('Closing Prices'!G182/'Closing Prices'!G181)</f>
        <v>-4.0082168981939192E-4</v>
      </c>
      <c r="G183" s="3">
        <f>LN('Closing Prices'!H182/'Closing Prices'!H181)</f>
        <v>3.9538463535360229E-3</v>
      </c>
      <c r="H183" s="3">
        <f>LN('Closing Prices'!I182/'Closing Prices'!I181)</f>
        <v>1.5291392771671455E-2</v>
      </c>
      <c r="I183" s="3">
        <f>LN('Closing Prices'!J182/'Closing Prices'!J181)</f>
        <v>6.2120388826523102E-3</v>
      </c>
      <c r="J183" s="4">
        <f>LN('Closing Prices'!K182/'Closing Prices'!K181)</f>
        <v>6.4078084093646291E-4</v>
      </c>
    </row>
    <row r="184" spans="4:10" x14ac:dyDescent="0.3">
      <c r="D184" s="13">
        <v>176</v>
      </c>
      <c r="E184" s="3">
        <f>LN('Closing Prices'!F183/'Closing Prices'!F182)</f>
        <v>-5.4664092950102924E-3</v>
      </c>
      <c r="F184" s="3">
        <f>LN('Closing Prices'!G183/'Closing Prices'!G182)</f>
        <v>-6.2837959689925884E-3</v>
      </c>
      <c r="G184" s="3">
        <f>LN('Closing Prices'!H183/'Closing Prices'!H182)</f>
        <v>3.9839777938199348E-3</v>
      </c>
      <c r="H184" s="3">
        <f>LN('Closing Prices'!I183/'Closing Prices'!I182)</f>
        <v>-1.3966095174642394E-2</v>
      </c>
      <c r="I184" s="3">
        <f>LN('Closing Prices'!J183/'Closing Prices'!J182)</f>
        <v>-1.3463480329982955E-4</v>
      </c>
      <c r="J184" s="4">
        <f>LN('Closing Prices'!K183/'Closing Prices'!K182)</f>
        <v>-9.061248928961019E-4</v>
      </c>
    </row>
    <row r="185" spans="4:10" x14ac:dyDescent="0.3">
      <c r="D185" s="13">
        <v>177</v>
      </c>
      <c r="E185" s="3">
        <f>LN('Closing Prices'!F184/'Closing Prices'!F183)</f>
        <v>-7.7331368752356908E-4</v>
      </c>
      <c r="F185" s="3">
        <f>LN('Closing Prices'!G184/'Closing Prices'!G183)</f>
        <v>0</v>
      </c>
      <c r="G185" s="3">
        <f>LN('Closing Prices'!H184/'Closing Prices'!H183)</f>
        <v>7.1495557170710303E-3</v>
      </c>
      <c r="H185" s="3">
        <f>LN('Closing Prices'!I184/'Closing Prices'!I183)</f>
        <v>-9.6962006848153783E-3</v>
      </c>
      <c r="I185" s="3">
        <f>LN('Closing Prices'!J184/'Closing Prices'!J183)</f>
        <v>-1.1451282784480962E-3</v>
      </c>
      <c r="J185" s="4">
        <f>LN('Closing Prices'!K184/'Closing Prices'!K183)</f>
        <v>4.7756861180648491E-4</v>
      </c>
    </row>
    <row r="186" spans="4:10" x14ac:dyDescent="0.3">
      <c r="D186" s="13">
        <v>178</v>
      </c>
      <c r="E186" s="3">
        <f>LN('Closing Prices'!F185/'Closing Prices'!F184)</f>
        <v>1.5460298230532551E-3</v>
      </c>
      <c r="F186" s="3">
        <f>LN('Closing Prices'!G185/'Closing Prices'!G184)</f>
        <v>3.5293821426693261E-4</v>
      </c>
      <c r="G186" s="3">
        <f>LN('Closing Prices'!H185/'Closing Prices'!H184)</f>
        <v>7.5942865664885787E-3</v>
      </c>
      <c r="H186" s="3">
        <f>LN('Closing Prices'!I185/'Closing Prices'!I184)</f>
        <v>1.5544354437800379E-2</v>
      </c>
      <c r="I186" s="3">
        <f>LN('Closing Prices'!J185/'Closing Prices'!J184)</f>
        <v>7.7210091846052287E-3</v>
      </c>
      <c r="J186" s="4">
        <f>LN('Closing Prices'!K185/'Closing Prices'!K184)</f>
        <v>-1.7245667903091884E-3</v>
      </c>
    </row>
    <row r="187" spans="4:10" x14ac:dyDescent="0.3">
      <c r="D187" s="13">
        <v>179</v>
      </c>
      <c r="E187" s="3">
        <f>LN('Closing Prices'!F186/'Closing Prices'!F185)</f>
        <v>5.4621984545786019E-3</v>
      </c>
      <c r="F187" s="3">
        <f>LN('Closing Prices'!G186/'Closing Prices'!G185)</f>
        <v>1.1278597715321931E-2</v>
      </c>
      <c r="G187" s="3">
        <f>LN('Closing Prices'!H186/'Closing Prices'!H185)</f>
        <v>-7.594286566488551E-3</v>
      </c>
      <c r="H187" s="3">
        <f>LN('Closing Prices'!I186/'Closing Prices'!I185)</f>
        <v>1.301915171689981E-2</v>
      </c>
      <c r="I187" s="3">
        <f>LN('Closing Prices'!J186/'Closing Prices'!J185)</f>
        <v>1.4606553673390813E-2</v>
      </c>
      <c r="J187" s="4">
        <f>LN('Closing Prices'!K186/'Closing Prices'!K185)</f>
        <v>1.0792644204168612E-3</v>
      </c>
    </row>
    <row r="188" spans="4:10" x14ac:dyDescent="0.3">
      <c r="D188" s="13">
        <v>180</v>
      </c>
      <c r="E188" s="3">
        <f>LN('Closing Prices'!F187/'Closing Prices'!F186)</f>
        <v>7.0288051649338174E-3</v>
      </c>
      <c r="F188" s="3">
        <f>LN('Closing Prices'!G187/'Closing Prices'!G186)</f>
        <v>2.4891733865982169E-3</v>
      </c>
      <c r="G188" s="3">
        <f>LN('Closing Prices'!H187/'Closing Prices'!H186)</f>
        <v>1.1504491777856573E-2</v>
      </c>
      <c r="H188" s="3">
        <f>LN('Closing Prices'!I187/'Closing Prices'!I186)</f>
        <v>1.1017190986854646E-2</v>
      </c>
      <c r="I188" s="3">
        <f>LN('Closing Prices'!J187/'Closing Prices'!J186)</f>
        <v>1.1856927810289426E-3</v>
      </c>
      <c r="J188" s="4">
        <f>LN('Closing Prices'!K187/'Closing Prices'!K186)</f>
        <v>2.8921180312986932E-3</v>
      </c>
    </row>
    <row r="189" spans="4:10" x14ac:dyDescent="0.3">
      <c r="D189" s="13">
        <v>181</v>
      </c>
      <c r="E189" s="3">
        <f>LN('Closing Prices'!F188/'Closing Prices'!F187)</f>
        <v>-4.3785037112461286E-3</v>
      </c>
      <c r="F189" s="3">
        <f>LN('Closing Prices'!G188/'Closing Prices'!G187)</f>
        <v>-4.8846231796272213E-3</v>
      </c>
      <c r="G189" s="3">
        <f>LN('Closing Prices'!H188/'Closing Prices'!H187)</f>
        <v>-2.1554635854368134E-3</v>
      </c>
      <c r="H189" s="3">
        <f>LN('Closing Prices'!I188/'Closing Prices'!I187)</f>
        <v>3.0558635197154372E-3</v>
      </c>
      <c r="I189" s="3">
        <f>LN('Closing Prices'!J188/'Closing Prices'!J187)</f>
        <v>1.2170535620255114E-2</v>
      </c>
      <c r="J189" s="4">
        <f>LN('Closing Prices'!K188/'Closing Prices'!K187)</f>
        <v>7.4101283785759785E-5</v>
      </c>
    </row>
    <row r="190" spans="4:10" x14ac:dyDescent="0.3">
      <c r="D190" s="13">
        <v>182</v>
      </c>
      <c r="E190" s="3">
        <f>LN('Closing Prices'!F189/'Closing Prices'!F188)</f>
        <v>4.9331348957357335E-3</v>
      </c>
      <c r="F190" s="3">
        <f>LN('Closing Prices'!G189/'Closing Prices'!G188)</f>
        <v>-7.0196838590927176E-3</v>
      </c>
      <c r="G190" s="3">
        <f>LN('Closing Prices'!H189/'Closing Prices'!H188)</f>
        <v>-3.4157356707133289E-2</v>
      </c>
      <c r="H190" s="3">
        <f>LN('Closing Prices'!I189/'Closing Prices'!I188)</f>
        <v>-7.1654163331405663E-3</v>
      </c>
      <c r="I190" s="3">
        <f>LN('Closing Prices'!J189/'Closing Prices'!J188)</f>
        <v>2.5332091101770244E-3</v>
      </c>
      <c r="J190" s="4">
        <f>LN('Closing Prices'!K189/'Closing Prices'!K188)</f>
        <v>1.2490116417772633E-4</v>
      </c>
    </row>
    <row r="191" spans="4:10" x14ac:dyDescent="0.3">
      <c r="D191" s="13">
        <v>183</v>
      </c>
      <c r="E191" s="3">
        <f>LN('Closing Prices'!F190/'Closing Prices'!F189)</f>
        <v>-1.1782476741310371E-2</v>
      </c>
      <c r="F191" s="3">
        <f>LN('Closing Prices'!G190/'Closing Prices'!G189)</f>
        <v>9.5556624566863586E-4</v>
      </c>
      <c r="G191" s="3">
        <f>LN('Closing Prices'!H190/'Closing Prices'!H189)</f>
        <v>-9.3467359576797776E-3</v>
      </c>
      <c r="H191" s="3">
        <f>LN('Closing Prices'!I190/'Closing Prices'!I189)</f>
        <v>8.385151801798869E-3</v>
      </c>
      <c r="I191" s="3">
        <f>LN('Closing Prices'!J190/'Closing Prices'!J189)</f>
        <v>-9.2544977498050327E-3</v>
      </c>
      <c r="J191" s="4">
        <f>LN('Closing Prices'!K190/'Closing Prices'!K189)</f>
        <v>-4.3532103613972686E-3</v>
      </c>
    </row>
    <row r="192" spans="4:10" x14ac:dyDescent="0.3">
      <c r="D192" s="13">
        <v>184</v>
      </c>
      <c r="E192" s="3">
        <f>LN('Closing Prices'!F191/'Closing Prices'!F190)</f>
        <v>1.3316047802865614E-3</v>
      </c>
      <c r="F192" s="3">
        <f>LN('Closing Prices'!G191/'Closing Prices'!G190)</f>
        <v>-1.1065286311610228E-3</v>
      </c>
      <c r="G192" s="3">
        <f>LN('Closing Prices'!H191/'Closing Prices'!H190)</f>
        <v>-1.5036183642976851E-3</v>
      </c>
      <c r="H192" s="3">
        <f>LN('Closing Prices'!I191/'Closing Prices'!I190)</f>
        <v>-1.3499622080921989E-2</v>
      </c>
      <c r="I192" s="3">
        <f>LN('Closing Prices'!J191/'Closing Prices'!J190)</f>
        <v>-6.239552606587582E-3</v>
      </c>
      <c r="J192" s="4">
        <f>LN('Closing Prices'!K191/'Closing Prices'!K190)</f>
        <v>-9.4287926388432301E-3</v>
      </c>
    </row>
    <row r="193" spans="4:10" x14ac:dyDescent="0.3">
      <c r="D193" s="13">
        <v>185</v>
      </c>
      <c r="E193" s="3">
        <f>LN('Closing Prices'!F192/'Closing Prices'!F191)</f>
        <v>2.9372704522308292E-3</v>
      </c>
      <c r="F193" s="3">
        <f>LN('Closing Prices'!G192/'Closing Prices'!G191)</f>
        <v>-5.5372380665261981E-4</v>
      </c>
      <c r="G193" s="3">
        <f>LN('Closing Prices'!H192/'Closing Prices'!H191)</f>
        <v>1.9787874742604704E-2</v>
      </c>
      <c r="H193" s="3">
        <f>LN('Closing Prices'!I192/'Closing Prices'!I191)</f>
        <v>-5.0786681686613312E-3</v>
      </c>
      <c r="I193" s="3">
        <f>LN('Closing Prices'!J192/'Closing Prices'!J191)</f>
        <v>6.5863138783490754E-4</v>
      </c>
      <c r="J193" s="4">
        <f>LN('Closing Prices'!K192/'Closing Prices'!K191)</f>
        <v>-7.9142754031523085E-3</v>
      </c>
    </row>
    <row r="194" spans="4:10" x14ac:dyDescent="0.3">
      <c r="D194" s="13">
        <v>186</v>
      </c>
      <c r="E194" s="3">
        <f>LN('Closing Prices'!F193/'Closing Prices'!F192)</f>
        <v>9.5907330456058357E-3</v>
      </c>
      <c r="F194" s="3">
        <f>LN('Closing Prices'!G193/'Closing Prices'!G192)</f>
        <v>1.3056387168683395E-2</v>
      </c>
      <c r="G194" s="3">
        <f>LN('Closing Prices'!H193/'Closing Prices'!H192)</f>
        <v>6.6625559480120973E-3</v>
      </c>
      <c r="H194" s="3">
        <f>LN('Closing Prices'!I193/'Closing Prices'!I192)</f>
        <v>-2.3000662861264068E-3</v>
      </c>
      <c r="I194" s="3">
        <f>LN('Closing Prices'!J193/'Closing Prices'!J192)</f>
        <v>6.3008872150977285E-3</v>
      </c>
      <c r="J194" s="4">
        <f>LN('Closing Prices'!K193/'Closing Prices'!K192)</f>
        <v>-4.8444517021475914E-3</v>
      </c>
    </row>
    <row r="195" spans="4:10" x14ac:dyDescent="0.3">
      <c r="D195" s="13">
        <v>187</v>
      </c>
      <c r="E195" s="3">
        <f>LN('Closing Prices'!F194/'Closing Prices'!F193)</f>
        <v>1.1279349293018799E-2</v>
      </c>
      <c r="F195" s="3">
        <f>LN('Closing Prices'!G194/'Closing Prices'!G193)</f>
        <v>-5.2820533411729129E-3</v>
      </c>
      <c r="G195" s="3">
        <f>LN('Closing Prices'!H194/'Closing Prices'!H193)</f>
        <v>-9.2476102426630423E-3</v>
      </c>
      <c r="H195" s="3">
        <f>LN('Closing Prices'!I194/'Closing Prices'!I193)</f>
        <v>-3.1166265955452025E-3</v>
      </c>
      <c r="I195" s="3">
        <f>LN('Closing Prices'!J194/'Closing Prices'!J193)</f>
        <v>-1.8356408461116629E-2</v>
      </c>
      <c r="J195" s="4">
        <f>LN('Closing Prices'!K194/'Closing Prices'!K193)</f>
        <v>1.720146549690175E-3</v>
      </c>
    </row>
    <row r="196" spans="4:10" x14ac:dyDescent="0.3">
      <c r="D196" s="13">
        <v>188</v>
      </c>
      <c r="E196" s="3">
        <f>LN('Closing Prices'!F195/'Closing Prices'!F194)</f>
        <v>-1.5924232683087701E-2</v>
      </c>
      <c r="F196" s="3">
        <f>LN('Closing Prices'!G195/'Closing Prices'!G194)</f>
        <v>6.672666925092244E-3</v>
      </c>
      <c r="G196" s="3">
        <f>LN('Closing Prices'!H195/'Closing Prices'!H194)</f>
        <v>2.0314556851357649E-2</v>
      </c>
      <c r="H196" s="3">
        <f>LN('Closing Prices'!I195/'Closing Prices'!I194)</f>
        <v>3.8631738493298475E-3</v>
      </c>
      <c r="I196" s="3">
        <f>LN('Closing Prices'!J195/'Closing Prices'!J194)</f>
        <v>9.8144023856447677E-3</v>
      </c>
      <c r="J196" s="4">
        <f>LN('Closing Prices'!K195/'Closing Prices'!K194)</f>
        <v>-1.2121201749287783E-2</v>
      </c>
    </row>
    <row r="197" spans="4:10" x14ac:dyDescent="0.3">
      <c r="D197" s="13">
        <v>189</v>
      </c>
      <c r="E197" s="3">
        <f>LN('Closing Prices'!F196/'Closing Prices'!F195)</f>
        <v>-9.2848584925998359E-3</v>
      </c>
      <c r="F197" s="3">
        <f>LN('Closing Prices'!G196/'Closing Prices'!G195)</f>
        <v>3.4186373622367675E-3</v>
      </c>
      <c r="G197" s="3">
        <f>LN('Closing Prices'!H196/'Closing Prices'!H195)</f>
        <v>-1.8133193236511936E-3</v>
      </c>
      <c r="H197" s="3">
        <f>LN('Closing Prices'!I196/'Closing Prices'!I195)</f>
        <v>4.9627893421290972E-3</v>
      </c>
      <c r="I197" s="3">
        <f>LN('Closing Prices'!J196/'Closing Prices'!J195)</f>
        <v>-1.3352574907475078E-2</v>
      </c>
      <c r="J197" s="4">
        <f>LN('Closing Prices'!K196/'Closing Prices'!K195)</f>
        <v>7.078366210506077E-3</v>
      </c>
    </row>
    <row r="198" spans="4:10" x14ac:dyDescent="0.3">
      <c r="D198" s="13">
        <v>190</v>
      </c>
      <c r="E198" s="3">
        <f>LN('Closing Prices'!F197/'Closing Prices'!F196)</f>
        <v>-1.193024458146048E-3</v>
      </c>
      <c r="F198" s="3">
        <f>LN('Closing Prices'!G197/'Closing Prices'!G196)</f>
        <v>-2.0790354031542866E-2</v>
      </c>
      <c r="G198" s="3">
        <f>LN('Closing Prices'!H197/'Closing Prices'!H196)</f>
        <v>-2.5441838265743834E-3</v>
      </c>
      <c r="H198" s="3">
        <f>LN('Closing Prices'!I197/'Closing Prices'!I196)</f>
        <v>-6.809248460193188E-4</v>
      </c>
      <c r="I198" s="3">
        <f>LN('Closing Prices'!J197/'Closing Prices'!J196)</f>
        <v>-1.8902878376376803E-2</v>
      </c>
      <c r="J198" s="4">
        <f>LN('Closing Prices'!K197/'Closing Prices'!K196)</f>
        <v>2.4528022369800146E-3</v>
      </c>
    </row>
    <row r="199" spans="4:10" x14ac:dyDescent="0.3">
      <c r="D199" s="13">
        <v>191</v>
      </c>
      <c r="E199" s="3">
        <f>LN('Closing Prices'!F198/'Closing Prices'!F197)</f>
        <v>-2.8127435744146837E-3</v>
      </c>
      <c r="F199" s="3">
        <f>LN('Closing Prices'!G198/'Closing Prices'!G197)</f>
        <v>-9.7942981829431362E-3</v>
      </c>
      <c r="G199" s="3">
        <f>LN('Closing Prices'!H198/'Closing Prices'!H197)</f>
        <v>1.1443169713242879E-2</v>
      </c>
      <c r="H199" s="3">
        <f>LN('Closing Prices'!I198/'Closing Prices'!I197)</f>
        <v>-2.0836042378614261E-2</v>
      </c>
      <c r="I199" s="3">
        <f>LN('Closing Prices'!J198/'Closing Prices'!J197)</f>
        <v>-1.1308848804673864E-2</v>
      </c>
      <c r="J199" s="4">
        <f>LN('Closing Prices'!K198/'Closing Prices'!K197)</f>
        <v>4.9287644092171319E-3</v>
      </c>
    </row>
    <row r="200" spans="4:10" x14ac:dyDescent="0.3">
      <c r="D200" s="13">
        <v>192</v>
      </c>
      <c r="E200" s="3">
        <f>LN('Closing Prices'!F199/'Closing Prices'!F198)</f>
        <v>4.9171214553781666E-3</v>
      </c>
      <c r="F200" s="3">
        <f>LN('Closing Prices'!G199/'Closing Prices'!G198)</f>
        <v>-6.3950285730834562E-3</v>
      </c>
      <c r="G200" s="3">
        <f>LN('Closing Prices'!H199/'Closing Prices'!H198)</f>
        <v>-1.7923659716948846E-2</v>
      </c>
      <c r="H200" s="3">
        <f>LN('Closing Prices'!I199/'Closing Prices'!I198)</f>
        <v>1.516300517964008E-3</v>
      </c>
      <c r="I200" s="3">
        <f>LN('Closing Prices'!J199/'Closing Prices'!J198)</f>
        <v>4.1271210046508267E-3</v>
      </c>
      <c r="J200" s="4">
        <f>LN('Closing Prices'!K199/'Closing Prices'!K198)</f>
        <v>-8.2106925768236812E-3</v>
      </c>
    </row>
    <row r="201" spans="4:10" x14ac:dyDescent="0.3">
      <c r="D201" s="13">
        <v>193</v>
      </c>
      <c r="E201" s="3">
        <f>LN('Closing Prices'!F200/'Closing Prices'!F199)</f>
        <v>-1.1133147686384126E-2</v>
      </c>
      <c r="F201" s="3">
        <f>LN('Closing Prices'!G200/'Closing Prices'!G199)</f>
        <v>8.3310389597299386E-3</v>
      </c>
      <c r="G201" s="3">
        <f>LN('Closing Prices'!H200/'Closing Prices'!H199)</f>
        <v>-6.568846974015081E-3</v>
      </c>
      <c r="H201" s="3">
        <f>LN('Closing Prices'!I200/'Closing Prices'!I199)</f>
        <v>2.4261378947465266E-2</v>
      </c>
      <c r="I201" s="3">
        <f>LN('Closing Prices'!J200/'Closing Prices'!J199)</f>
        <v>6.4317703760879913E-3</v>
      </c>
      <c r="J201" s="4">
        <f>LN('Closing Prices'!K200/'Closing Prices'!K199)</f>
        <v>6.1041282920765629E-3</v>
      </c>
    </row>
    <row r="202" spans="4:10" x14ac:dyDescent="0.3">
      <c r="D202" s="13">
        <v>194</v>
      </c>
      <c r="E202" s="3">
        <f>LN('Closing Prices'!F201/'Closing Prices'!F200)</f>
        <v>9.2071255486056013E-4</v>
      </c>
      <c r="F202" s="3">
        <f>LN('Closing Prices'!G201/'Closing Prices'!G200)</f>
        <v>-1.507720868581197E-2</v>
      </c>
      <c r="G202" s="3">
        <f>LN('Closing Prices'!H201/'Closing Prices'!H200)</f>
        <v>-1.0842977276935938E-2</v>
      </c>
      <c r="H202" s="3">
        <f>LN('Closing Prices'!I201/'Closing Prices'!I200)</f>
        <v>-2.7766654683005995E-3</v>
      </c>
      <c r="I202" s="3">
        <f>LN('Closing Prices'!J201/'Closing Prices'!J200)</f>
        <v>-2.2694541860316251E-2</v>
      </c>
      <c r="J202" s="4">
        <f>LN('Closing Prices'!K201/'Closing Prices'!K200)</f>
        <v>1.2564761511038112E-2</v>
      </c>
    </row>
    <row r="203" spans="4:10" x14ac:dyDescent="0.3">
      <c r="D203" s="13">
        <v>195</v>
      </c>
      <c r="E203" s="3">
        <f>LN('Closing Prices'!F202/'Closing Prices'!F201)</f>
        <v>7.4758793768035159E-3</v>
      </c>
      <c r="F203" s="3">
        <f>LN('Closing Prices'!G202/'Closing Prices'!G201)</f>
        <v>-7.2366383805282531E-4</v>
      </c>
      <c r="G203" s="3">
        <f>LN('Closing Prices'!H202/'Closing Prices'!H201)</f>
        <v>-6.5439141628083801E-3</v>
      </c>
      <c r="H203" s="3">
        <f>LN('Closing Prices'!I202/'Closing Prices'!I201)</f>
        <v>8.9195682547284078E-3</v>
      </c>
      <c r="I203" s="3">
        <f>LN('Closing Prices'!J202/'Closing Prices'!J201)</f>
        <v>-2.2351060502802935E-3</v>
      </c>
      <c r="J203" s="4">
        <f>LN('Closing Prices'!K202/'Closing Prices'!K201)</f>
        <v>8.9978533753464764E-5</v>
      </c>
    </row>
    <row r="204" spans="4:10" x14ac:dyDescent="0.3">
      <c r="D204" s="13">
        <v>196</v>
      </c>
      <c r="E204" s="3">
        <f>LN('Closing Prices'!F203/'Closing Prices'!F202)</f>
        <v>2.5964015849041142E-3</v>
      </c>
      <c r="F204" s="3">
        <f>LN('Closing Prices'!G203/'Closing Prices'!G202)</f>
        <v>-2.2259618353866434E-3</v>
      </c>
      <c r="G204" s="3">
        <f>LN('Closing Prices'!H203/'Closing Prices'!H202)</f>
        <v>2.0612768471452896E-3</v>
      </c>
      <c r="H204" s="3">
        <f>LN('Closing Prices'!I203/'Closing Prices'!I202)</f>
        <v>4.2776892411358356E-3</v>
      </c>
      <c r="I204" s="3">
        <f>LN('Closing Prices'!J203/'Closing Prices'!J202)</f>
        <v>7.6888131561983681E-4</v>
      </c>
      <c r="J204" s="4">
        <f>LN('Closing Prices'!K203/'Closing Prices'!K202)</f>
        <v>-4.028240591855958E-4</v>
      </c>
    </row>
    <row r="205" spans="4:10" x14ac:dyDescent="0.3">
      <c r="D205" s="13">
        <v>197</v>
      </c>
      <c r="E205" s="3">
        <f>LN('Closing Prices'!F204/'Closing Prices'!F203)</f>
        <v>-7.5976447075165616E-3</v>
      </c>
      <c r="F205" s="3">
        <f>LN('Closing Prices'!G204/'Closing Prices'!G203)</f>
        <v>3.0012959139760396E-3</v>
      </c>
      <c r="G205" s="3">
        <f>LN('Closing Prices'!H204/'Closing Prices'!H203)</f>
        <v>1.0290472866543213E-3</v>
      </c>
      <c r="H205" s="3">
        <f>LN('Closing Prices'!I204/'Closing Prices'!I203)</f>
        <v>-9.8661829210539443E-3</v>
      </c>
      <c r="I205" s="3">
        <f>LN('Closing Prices'!J204/'Closing Prices'!J203)</f>
        <v>4.6009143552617838E-3</v>
      </c>
      <c r="J205" s="4">
        <f>LN('Closing Prices'!K204/'Closing Prices'!K203)</f>
        <v>-7.1168248352350347E-3</v>
      </c>
    </row>
    <row r="206" spans="4:10" x14ac:dyDescent="0.3">
      <c r="D206" s="13">
        <v>198</v>
      </c>
      <c r="E206" s="3">
        <f>LN('Closing Prices'!F205/'Closing Prices'!F204)</f>
        <v>6.405540502667899E-3</v>
      </c>
      <c r="F206" s="3">
        <f>LN('Closing Prices'!G205/'Closing Prices'!G204)</f>
        <v>-9.2396193266676471E-3</v>
      </c>
      <c r="G206" s="3">
        <f>LN('Closing Prices'!H205/'Closing Prices'!H204)</f>
        <v>-1.4883469916978359E-2</v>
      </c>
      <c r="H206" s="3">
        <f>LN('Closing Prices'!I205/'Closing Prices'!I204)</f>
        <v>-1.351623280004147E-2</v>
      </c>
      <c r="I206" s="3">
        <f>LN('Closing Prices'!J205/'Closing Prices'!J204)</f>
        <v>-6.9093341135214835E-3</v>
      </c>
      <c r="J206" s="4">
        <f>LN('Closing Prices'!K205/'Closing Prices'!K204)</f>
        <v>-1.0004508646351421E-2</v>
      </c>
    </row>
    <row r="207" spans="4:10" x14ac:dyDescent="0.3">
      <c r="D207" s="13">
        <v>199</v>
      </c>
      <c r="E207" s="3">
        <f>LN('Closing Prices'!F206/'Closing Prices'!F205)</f>
        <v>4.0613458247699546E-3</v>
      </c>
      <c r="F207" s="3">
        <f>LN('Closing Prices'!G206/'Closing Prices'!G205)</f>
        <v>1.6960075606832534E-2</v>
      </c>
      <c r="G207" s="3">
        <f>LN('Closing Prices'!H206/'Closing Prices'!H205)</f>
        <v>1.7824442557032794E-2</v>
      </c>
      <c r="H207" s="3">
        <f>LN('Closing Prices'!I206/'Closing Prices'!I205)</f>
        <v>1.8001785191679998E-2</v>
      </c>
      <c r="I207" s="3">
        <f>LN('Closing Prices'!J206/'Closing Prices'!J205)</f>
        <v>1.4599814390426976E-2</v>
      </c>
      <c r="J207" s="4">
        <f>LN('Closing Prices'!K206/'Closing Prices'!K205)</f>
        <v>-5.5375521213013529E-3</v>
      </c>
    </row>
    <row r="208" spans="4:10" x14ac:dyDescent="0.3">
      <c r="D208" s="13">
        <v>200</v>
      </c>
      <c r="E208" s="3">
        <f>LN('Closing Prices'!F207/'Closing Prices'!F206)</f>
        <v>-5.6764580048050788E-3</v>
      </c>
      <c r="F208" s="3">
        <f>LN('Closing Prices'!G207/'Closing Prices'!G206)</f>
        <v>-3.5954633216684229E-3</v>
      </c>
      <c r="G208" s="3">
        <f>LN('Closing Prices'!H207/'Closing Prices'!H206)</f>
        <v>-8.6609000922765068E-3</v>
      </c>
      <c r="H208" s="3">
        <f>LN('Closing Prices'!I207/'Closing Prices'!I206)</f>
        <v>-1.3890398350016047E-2</v>
      </c>
      <c r="I208" s="3">
        <f>LN('Closing Prices'!J207/'Closing Prices'!J206)</f>
        <v>-5.0510399726032655E-3</v>
      </c>
      <c r="J208" s="4">
        <f>LN('Closing Prices'!K207/'Closing Prices'!K206)</f>
        <v>-4.2421769647850594E-3</v>
      </c>
    </row>
    <row r="209" spans="4:10" x14ac:dyDescent="0.3">
      <c r="D209" s="13">
        <v>201</v>
      </c>
      <c r="E209" s="3">
        <f>LN('Closing Prices'!F208/'Closing Prices'!F207)</f>
        <v>0</v>
      </c>
      <c r="F209" s="3">
        <f>LN('Closing Prices'!G208/'Closing Prices'!G207)</f>
        <v>1.1205889000601642E-2</v>
      </c>
      <c r="G209" s="3">
        <f>LN('Closing Prices'!H208/'Closing Prices'!H207)</f>
        <v>1.136083656156881E-2</v>
      </c>
      <c r="H209" s="3">
        <f>LN('Closing Prices'!I208/'Closing Prices'!I207)</f>
        <v>-7.8637364602144634E-3</v>
      </c>
      <c r="I209" s="3">
        <f>LN('Closing Prices'!J208/'Closing Prices'!J207)</f>
        <v>-2.1527038624708349E-3</v>
      </c>
      <c r="J209" s="4">
        <f>LN('Closing Prices'!K208/'Closing Prices'!K207)</f>
        <v>5.4099522010974442E-3</v>
      </c>
    </row>
    <row r="210" spans="4:10" x14ac:dyDescent="0.3">
      <c r="D210" s="13">
        <v>202</v>
      </c>
      <c r="E210" s="3">
        <f>LN('Closing Prices'!F209/'Closing Prices'!F208)</f>
        <v>8.328424106481689E-3</v>
      </c>
      <c r="F210" s="3">
        <f>LN('Closing Prices'!G209/'Closing Prices'!G208)</f>
        <v>6.8962293489177448E-3</v>
      </c>
      <c r="G210" s="3">
        <f>LN('Closing Prices'!H209/'Closing Prices'!H208)</f>
        <v>-6.0149856123528139E-3</v>
      </c>
      <c r="H210" s="3">
        <f>LN('Closing Prices'!I209/'Closing Prices'!I208)</f>
        <v>-1.4579449763157273E-2</v>
      </c>
      <c r="I210" s="3">
        <f>LN('Closing Prices'!J209/'Closing Prices'!J208)</f>
        <v>7.1347235776010372E-3</v>
      </c>
      <c r="J210" s="4">
        <f>LN('Closing Prices'!K209/'Closing Prices'!K208)</f>
        <v>-1.4264915662635998E-3</v>
      </c>
    </row>
    <row r="211" spans="4:10" x14ac:dyDescent="0.3">
      <c r="D211" s="13">
        <v>203</v>
      </c>
      <c r="E211" s="3">
        <f>LN('Closing Prices'!F210/'Closing Prices'!F209)</f>
        <v>1.7205468478405022E-2</v>
      </c>
      <c r="F211" s="3">
        <f>LN('Closing Prices'!G210/'Closing Prices'!G209)</f>
        <v>-1.0107135646361247E-4</v>
      </c>
      <c r="G211" s="3">
        <f>LN('Closing Prices'!H210/'Closing Prices'!H209)</f>
        <v>-3.0774581690387621E-2</v>
      </c>
      <c r="H211" s="3">
        <f>LN('Closing Prices'!I210/'Closing Prices'!I209)</f>
        <v>-5.8022925561831843E-3</v>
      </c>
      <c r="I211" s="3">
        <f>LN('Closing Prices'!J210/'Closing Prices'!J209)</f>
        <v>-3.6649074662137935E-3</v>
      </c>
      <c r="J211" s="4">
        <f>LN('Closing Prices'!K210/'Closing Prices'!K209)</f>
        <v>2.6016531220722349E-3</v>
      </c>
    </row>
    <row r="212" spans="4:10" x14ac:dyDescent="0.3">
      <c r="D212" s="13">
        <v>204</v>
      </c>
      <c r="E212" s="3">
        <f>LN('Closing Prices'!F211/'Closing Prices'!F210)</f>
        <v>-3.3625010236984832E-3</v>
      </c>
      <c r="F212" s="3">
        <f>LN('Closing Prices'!G211/'Closing Prices'!G210)</f>
        <v>-1.4815840087397916E-2</v>
      </c>
      <c r="G212" s="3">
        <f>LN('Closing Prices'!H211/'Closing Prices'!H210)</f>
        <v>-1.6288984860092965E-2</v>
      </c>
      <c r="H212" s="3">
        <f>LN('Closing Prices'!I211/'Closing Prices'!I210)</f>
        <v>-6.0934732015613157E-3</v>
      </c>
      <c r="I212" s="3">
        <f>LN('Closing Prices'!J211/'Closing Prices'!J210)</f>
        <v>-7.6232721388223E-4</v>
      </c>
      <c r="J212" s="4">
        <f>LN('Closing Prices'!K211/'Closing Prices'!K210)</f>
        <v>-3.5910929626949972E-3</v>
      </c>
    </row>
    <row r="213" spans="4:10" x14ac:dyDescent="0.3">
      <c r="D213" s="13">
        <v>205</v>
      </c>
      <c r="E213" s="3">
        <f>LN('Closing Prices'!F212/'Closing Prices'!F211)</f>
        <v>-1.6494933556383019E-2</v>
      </c>
      <c r="F213" s="3">
        <f>LN('Closing Prices'!G212/'Closing Prices'!G211)</f>
        <v>-4.317884779935291E-3</v>
      </c>
      <c r="G213" s="3">
        <f>LN('Closing Prices'!H212/'Closing Prices'!H211)</f>
        <v>3.1324972998644988E-3</v>
      </c>
      <c r="H213" s="3">
        <f>LN('Closing Prices'!I212/'Closing Prices'!I211)</f>
        <v>-1.9964585604101562E-3</v>
      </c>
      <c r="I213" s="3">
        <f>LN('Closing Prices'!J212/'Closing Prices'!J211)</f>
        <v>-1.3189765171015368E-2</v>
      </c>
      <c r="J213" s="4">
        <f>LN('Closing Prices'!K212/'Closing Prices'!K211)</f>
        <v>1.6273396593754076E-3</v>
      </c>
    </row>
    <row r="214" spans="4:10" x14ac:dyDescent="0.3">
      <c r="D214" s="13">
        <v>206</v>
      </c>
      <c r="E214" s="3">
        <f>LN('Closing Prices'!F213/'Closing Prices'!F212)</f>
        <v>4.8102152772443426E-3</v>
      </c>
      <c r="F214" s="3">
        <f>LN('Closing Prices'!G213/'Closing Prices'!G212)</f>
        <v>-8.5881846087607211E-3</v>
      </c>
      <c r="G214" s="3">
        <f>LN('Closing Prices'!H213/'Closing Prices'!H212)</f>
        <v>-8.8002352408634286E-4</v>
      </c>
      <c r="H214" s="3">
        <f>LN('Closing Prices'!I213/'Closing Prices'!I212)</f>
        <v>-5.3002515652812218E-3</v>
      </c>
      <c r="I214" s="3">
        <f>LN('Closing Prices'!J213/'Closing Prices'!J212)</f>
        <v>-1.2725516371505633E-2</v>
      </c>
      <c r="J214" s="4">
        <f>LN('Closing Prices'!K213/'Closing Prices'!K212)</f>
        <v>4.0153318697982547E-3</v>
      </c>
    </row>
    <row r="215" spans="4:10" x14ac:dyDescent="0.3">
      <c r="D215" s="13">
        <v>207</v>
      </c>
      <c r="E215" s="3">
        <f>LN('Closing Prices'!F214/'Closing Prices'!F213)</f>
        <v>8.7246087277634363E-3</v>
      </c>
      <c r="F215" s="3">
        <f>LN('Closing Prices'!G214/'Closing Prices'!G213)</f>
        <v>3.8893403450373275E-3</v>
      </c>
      <c r="G215" s="3">
        <f>LN('Closing Prices'!H214/'Closing Prices'!H213)</f>
        <v>9.2987695657978722E-3</v>
      </c>
      <c r="H215" s="3">
        <f>LN('Closing Prices'!I214/'Closing Prices'!I213)</f>
        <v>6.9749701531596261E-3</v>
      </c>
      <c r="I215" s="3">
        <f>LN('Closing Prices'!J214/'Closing Prices'!J213)</f>
        <v>5.8172695264003486E-3</v>
      </c>
      <c r="J215" s="4">
        <f>LN('Closing Prices'!K214/'Closing Prices'!K213)</f>
        <v>-5.5702402866937371E-3</v>
      </c>
    </row>
    <row r="216" spans="4:10" x14ac:dyDescent="0.3">
      <c r="D216" s="13">
        <v>208</v>
      </c>
      <c r="E216" s="3">
        <f>LN('Closing Prices'!F215/'Closing Prices'!F214)</f>
        <v>-3.2455229952620306E-3</v>
      </c>
      <c r="F216" s="3">
        <f>LN('Closing Prices'!G215/'Closing Prices'!G214)</f>
        <v>6.6030675817219621E-3</v>
      </c>
      <c r="G216" s="3">
        <f>LN('Closing Prices'!H215/'Closing Prices'!H214)</f>
        <v>5.3645345285989795E-3</v>
      </c>
      <c r="H216" s="3">
        <f>LN('Closing Prices'!I215/'Closing Prices'!I214)</f>
        <v>5.711550902935264E-3</v>
      </c>
      <c r="I216" s="3">
        <f>LN('Closing Prices'!J215/'Closing Prices'!J214)</f>
        <v>5.0800927710427934E-3</v>
      </c>
      <c r="J216" s="4">
        <f>LN('Closing Prices'!K215/'Closing Prices'!K214)</f>
        <v>-8.2004071576317009E-3</v>
      </c>
    </row>
    <row r="217" spans="4:10" x14ac:dyDescent="0.3">
      <c r="D217" s="13">
        <v>209</v>
      </c>
      <c r="E217" s="3">
        <f>LN('Closing Prices'!F216/'Closing Prices'!F215)</f>
        <v>7.3734958332925512E-3</v>
      </c>
      <c r="F217" s="3">
        <f>LN('Closing Prices'!G216/'Closing Prices'!G215)</f>
        <v>-8.9867354115751932E-3</v>
      </c>
      <c r="G217" s="3">
        <f>LN('Closing Prices'!H216/'Closing Prices'!H215)</f>
        <v>3.3202638591470443E-3</v>
      </c>
      <c r="H217" s="3">
        <f>LN('Closing Prices'!I216/'Closing Prices'!I215)</f>
        <v>1.4547790156467831E-2</v>
      </c>
      <c r="I217" s="3">
        <f>LN('Closing Prices'!J216/'Closing Prices'!J215)</f>
        <v>-2.1840992231126079E-3</v>
      </c>
      <c r="J217" s="4">
        <f>LN('Closing Prices'!K216/'Closing Prices'!K215)</f>
        <v>5.9855911607465152E-3</v>
      </c>
    </row>
    <row r="218" spans="4:10" x14ac:dyDescent="0.3">
      <c r="D218" s="13">
        <v>210</v>
      </c>
      <c r="E218" s="3">
        <f>LN('Closing Prices'!F217/'Closing Prices'!F216)</f>
        <v>-1.8554793489542769E-3</v>
      </c>
      <c r="F218" s="3">
        <f>LN('Closing Prices'!G217/'Closing Prices'!G216)</f>
        <v>-2.0773832451347345E-3</v>
      </c>
      <c r="G218" s="3">
        <f>LN('Closing Prices'!H217/'Closing Prices'!H216)</f>
        <v>-3.5130814061410001E-3</v>
      </c>
      <c r="H218" s="3">
        <f>LN('Closing Prices'!I217/'Closing Prices'!I216)</f>
        <v>-8.7414251436490013E-3</v>
      </c>
      <c r="I218" s="3">
        <f>LN('Closing Prices'!J217/'Closing Prices'!J216)</f>
        <v>-3.4620446491549083E-3</v>
      </c>
      <c r="J218" s="4">
        <f>LN('Closing Prices'!K217/'Closing Prices'!K216)</f>
        <v>-6.4016989652305178E-3</v>
      </c>
    </row>
    <row r="219" spans="4:10" x14ac:dyDescent="0.3">
      <c r="D219" s="13">
        <v>211</v>
      </c>
      <c r="E219" s="3">
        <f>LN('Closing Prices'!F218/'Closing Prices'!F217)</f>
        <v>-5.1031074126229523E-3</v>
      </c>
      <c r="F219" s="3">
        <f>LN('Closing Prices'!G218/'Closing Prices'!G217)</f>
        <v>1.4546212757624627E-3</v>
      </c>
      <c r="G219" s="3">
        <f>LN('Closing Prices'!H218/'Closing Prices'!H217)</f>
        <v>1.4933644416112992E-3</v>
      </c>
      <c r="H219" s="3">
        <f>LN('Closing Prices'!I218/'Closing Prices'!I217)</f>
        <v>-1.0821478505986107E-3</v>
      </c>
      <c r="I219" s="3">
        <f>LN('Closing Prices'!J218/'Closing Prices'!J217)</f>
        <v>6.4903226068884767E-3</v>
      </c>
      <c r="J219" s="4">
        <f>LN('Closing Prices'!K218/'Closing Prices'!K217)</f>
        <v>1.232980941207879E-2</v>
      </c>
    </row>
    <row r="220" spans="4:10" x14ac:dyDescent="0.3">
      <c r="D220" s="13">
        <v>212</v>
      </c>
      <c r="E220" s="3">
        <f>LN('Closing Prices'!F219/'Closing Prices'!F218)</f>
        <v>9.7695995480971271E-3</v>
      </c>
      <c r="F220" s="3">
        <f>LN('Closing Prices'!G219/'Closing Prices'!G218)</f>
        <v>7.1899960590709085E-3</v>
      </c>
      <c r="G220" s="3">
        <f>LN('Closing Prices'!H219/'Closing Prices'!H218)</f>
        <v>5.7119698344942436E-3</v>
      </c>
      <c r="H220" s="3">
        <f>LN('Closing Prices'!I219/'Closing Prices'!I218)</f>
        <v>6.6019410741964399E-3</v>
      </c>
      <c r="I220" s="3">
        <f>LN('Closing Prices'!J219/'Closing Prices'!J218)</f>
        <v>8.8908142794768968E-3</v>
      </c>
      <c r="J220" s="4">
        <f>LN('Closing Prices'!K219/'Closing Prices'!K218)</f>
        <v>2.2301565356220917E-4</v>
      </c>
    </row>
    <row r="221" spans="4:10" x14ac:dyDescent="0.3">
      <c r="D221" s="13">
        <v>213</v>
      </c>
      <c r="E221" s="3">
        <f>LN('Closing Prices'!F220/'Closing Prices'!F219)</f>
        <v>-7.4216943192319321E-3</v>
      </c>
      <c r="F221" s="3">
        <f>LN('Closing Prices'!G220/'Closing Prices'!G219)</f>
        <v>-3.407510137909978E-3</v>
      </c>
      <c r="G221" s="3">
        <f>LN('Closing Prices'!H220/'Closing Prices'!H219)</f>
        <v>5.4891429203265353E-3</v>
      </c>
      <c r="H221" s="3">
        <f>LN('Closing Prices'!I220/'Closing Prices'!I219)</f>
        <v>-9.9832323751195638E-3</v>
      </c>
      <c r="I221" s="3">
        <f>LN('Closing Prices'!J220/'Closing Prices'!J219)</f>
        <v>-5.5912921733910787E-3</v>
      </c>
      <c r="J221" s="4">
        <f>LN('Closing Prices'!K220/'Closing Prices'!K219)</f>
        <v>-3.5961729262155577E-3</v>
      </c>
    </row>
    <row r="222" spans="4:10" x14ac:dyDescent="0.3">
      <c r="D222" s="13">
        <v>214</v>
      </c>
      <c r="E222" s="3">
        <f>LN('Closing Prices'!F221/'Closing Prices'!F220)</f>
        <v>-5.3252312987526803E-3</v>
      </c>
      <c r="F222" s="3">
        <f>LN('Closing Prices'!G221/'Closing Prices'!G220)</f>
        <v>-7.1104490571631635E-3</v>
      </c>
      <c r="G222" s="3">
        <f>LN('Closing Prices'!H221/'Closing Prices'!H220)</f>
        <v>-1.680066397599865E-2</v>
      </c>
      <c r="H222" s="3">
        <f>LN('Closing Prices'!I221/'Closing Prices'!I220)</f>
        <v>-1.1117294721801745E-2</v>
      </c>
      <c r="I222" s="3">
        <f>LN('Closing Prices'!J221/'Closing Prices'!J220)</f>
        <v>-1.2270092591814247E-2</v>
      </c>
      <c r="J222" s="4">
        <f>LN('Closing Prices'!K221/'Closing Prices'!K220)</f>
        <v>-1.2776100456949692E-2</v>
      </c>
    </row>
    <row r="223" spans="4:10" x14ac:dyDescent="0.3">
      <c r="D223" s="13">
        <v>215</v>
      </c>
      <c r="E223" s="3">
        <f>LN('Closing Prices'!F222/'Closing Prices'!F221)</f>
        <v>1.801302967311159E-3</v>
      </c>
      <c r="F223" s="3">
        <f>LN('Closing Prices'!G222/'Closing Prices'!G221)</f>
        <v>3.5874944239555643E-3</v>
      </c>
      <c r="G223" s="3">
        <f>LN('Closing Prices'!H222/'Closing Prices'!H221)</f>
        <v>2.6588688889442099E-3</v>
      </c>
      <c r="H223" s="3">
        <f>LN('Closing Prices'!I222/'Closing Prices'!I221)</f>
        <v>1.3479023071981676E-2</v>
      </c>
      <c r="I223" s="3">
        <f>LN('Closing Prices'!J222/'Closing Prices'!J221)</f>
        <v>1.3950765256332593E-2</v>
      </c>
      <c r="J223" s="4">
        <f>LN('Closing Prices'!K222/'Closing Prices'!K221)</f>
        <v>-6.6936116795915492E-3</v>
      </c>
    </row>
    <row r="224" spans="4:10" x14ac:dyDescent="0.3">
      <c r="D224" s="13">
        <v>216</v>
      </c>
      <c r="E224" s="3">
        <f>LN('Closing Prices'!F223/'Closing Prices'!F222)</f>
        <v>-4.5093558669419605E-3</v>
      </c>
      <c r="F224" s="3">
        <f>LN('Closing Prices'!G223/'Closing Prices'!G222)</f>
        <v>-6.1951938259443198E-3</v>
      </c>
      <c r="G224" s="3">
        <f>LN('Closing Prices'!H223/'Closing Prices'!H222)</f>
        <v>9.0354822427055562E-3</v>
      </c>
      <c r="H224" s="3">
        <f>LN('Closing Prices'!I223/'Closing Prices'!I222)</f>
        <v>-5.0493859480719933E-3</v>
      </c>
      <c r="I224" s="3">
        <f>LN('Closing Prices'!J223/'Closing Prices'!J222)</f>
        <v>-3.2237746050013702E-3</v>
      </c>
      <c r="J224" s="4">
        <f>LN('Closing Prices'!K223/'Closing Prices'!K222)</f>
        <v>7.2223725031813953E-3</v>
      </c>
    </row>
    <row r="225" spans="4:10" x14ac:dyDescent="0.3">
      <c r="D225" s="13">
        <v>217</v>
      </c>
      <c r="E225" s="3">
        <f>LN('Closing Prices'!F224/'Closing Prices'!F223)</f>
        <v>7.4813316522887663E-3</v>
      </c>
      <c r="F225" s="3">
        <f>LN('Closing Prices'!G224/'Closing Prices'!G223)</f>
        <v>1.2352243415040525E-2</v>
      </c>
      <c r="G225" s="3">
        <f>LN('Closing Prices'!H224/'Closing Prices'!H223)</f>
        <v>1.0044594484931309E-2</v>
      </c>
      <c r="H225" s="3">
        <f>LN('Closing Prices'!I224/'Closing Prices'!I223)</f>
        <v>-5.1275478626317873E-4</v>
      </c>
      <c r="I225" s="3">
        <f>LN('Closing Prices'!J224/'Closing Prices'!J223)</f>
        <v>1.1307442317492944E-2</v>
      </c>
      <c r="J225" s="4">
        <f>LN('Closing Prices'!K224/'Closing Prices'!K223)</f>
        <v>-3.7836950364330865E-2</v>
      </c>
    </row>
    <row r="226" spans="4:10" x14ac:dyDescent="0.3">
      <c r="D226" s="13">
        <v>218</v>
      </c>
      <c r="E226" s="3">
        <f>LN('Closing Prices'!F225/'Closing Prices'!F224)</f>
        <v>3.4447157727822172E-3</v>
      </c>
      <c r="F226" s="3">
        <f>LN('Closing Prices'!G225/'Closing Prices'!G224)</f>
        <v>-2.0653696607203383E-3</v>
      </c>
      <c r="G226" s="3">
        <f>LN('Closing Prices'!H225/'Closing Prices'!H224)</f>
        <v>-1.4220033680255124E-3</v>
      </c>
      <c r="H226" s="3">
        <f>LN('Closing Prices'!I225/'Closing Prices'!I224)</f>
        <v>1.91135132582658E-2</v>
      </c>
      <c r="I226" s="3">
        <f>LN('Closing Prices'!J225/'Closing Prices'!J224)</f>
        <v>1.0769122439532047E-2</v>
      </c>
      <c r="J226" s="4">
        <f>LN('Closing Prices'!K225/'Closing Prices'!K224)</f>
        <v>7.6978959404274084E-3</v>
      </c>
    </row>
    <row r="227" spans="4:10" x14ac:dyDescent="0.3">
      <c r="D227" s="13">
        <v>219</v>
      </c>
      <c r="E227" s="3">
        <f>LN('Closing Prices'!F226/'Closing Prices'!F225)</f>
        <v>-2.2032506847173778E-3</v>
      </c>
      <c r="F227" s="3">
        <f>LN('Closing Prices'!G226/'Closing Prices'!G225)</f>
        <v>-4.6529663499430098E-4</v>
      </c>
      <c r="G227" s="3">
        <f>LN('Closing Prices'!H226/'Closing Prices'!H225)</f>
        <v>-8.5417363898905748E-4</v>
      </c>
      <c r="H227" s="3">
        <f>LN('Closing Prices'!I226/'Closing Prices'!I225)</f>
        <v>1.4424677970545308E-2</v>
      </c>
      <c r="I227" s="3">
        <f>LN('Closing Prices'!J226/'Closing Prices'!J225)</f>
        <v>-1.5117160853219673E-3</v>
      </c>
      <c r="J227" s="4">
        <f>LN('Closing Prices'!K226/'Closing Prices'!K225)</f>
        <v>1.0447431387909156E-2</v>
      </c>
    </row>
    <row r="228" spans="4:10" x14ac:dyDescent="0.3">
      <c r="D228" s="13">
        <v>220</v>
      </c>
      <c r="E228" s="3">
        <f>LN('Closing Prices'!F227/'Closing Prices'!F226)</f>
        <v>-1.7101563814543939E-2</v>
      </c>
      <c r="F228" s="3">
        <f>LN('Closing Prices'!G227/'Closing Prices'!G226)</f>
        <v>-1.2069650213539217E-2</v>
      </c>
      <c r="G228" s="3">
        <f>LN('Closing Prices'!H227/'Closing Prices'!H226)</f>
        <v>-6.6685966856436961E-3</v>
      </c>
      <c r="H228" s="3">
        <f>LN('Closing Prices'!I227/'Closing Prices'!I226)</f>
        <v>-1.2853486999046723E-2</v>
      </c>
      <c r="I228" s="3">
        <f>LN('Closing Prices'!J227/'Closing Prices'!J226)</f>
        <v>-2.0705248812333727E-2</v>
      </c>
      <c r="J228" s="4">
        <f>LN('Closing Prices'!K227/'Closing Prices'!K226)</f>
        <v>-5.2624468325372991E-3</v>
      </c>
    </row>
    <row r="229" spans="4:10" x14ac:dyDescent="0.3">
      <c r="D229" s="13">
        <v>221</v>
      </c>
      <c r="E229" s="3">
        <f>LN('Closing Prices'!F228/'Closing Prices'!F227)</f>
        <v>3.0803720800800247E-3</v>
      </c>
      <c r="F229" s="3">
        <f>LN('Closing Prices'!G228/'Closing Prices'!G227)</f>
        <v>6.2611077958077046E-3</v>
      </c>
      <c r="G229" s="3">
        <f>LN('Closing Prices'!H228/'Closing Prices'!H227)</f>
        <v>1.1026727695368813E-2</v>
      </c>
      <c r="H229" s="3">
        <f>LN('Closing Prices'!I228/'Closing Prices'!I227)</f>
        <v>-1.5058810347596123E-2</v>
      </c>
      <c r="I229" s="3">
        <f>LN('Closing Prices'!J228/'Closing Prices'!J227)</f>
        <v>-6.1265640031712264E-3</v>
      </c>
      <c r="J229" s="4">
        <f>LN('Closing Prices'!K228/'Closing Prices'!K227)</f>
        <v>1.0806018845759725E-2</v>
      </c>
    </row>
    <row r="230" spans="4:10" x14ac:dyDescent="0.3">
      <c r="D230" s="13">
        <v>222</v>
      </c>
      <c r="E230" s="3">
        <f>LN('Closing Prices'!F229/'Closing Prices'!F228)</f>
        <v>1.2434601535121596E-2</v>
      </c>
      <c r="F230" s="3">
        <f>LN('Closing Prices'!G229/'Closing Prices'!G228)</f>
        <v>1.7836443783252869E-2</v>
      </c>
      <c r="G230" s="3">
        <f>LN('Closing Prices'!H229/'Closing Prices'!H228)</f>
        <v>1.3801092170292474E-2</v>
      </c>
      <c r="H230" s="3">
        <f>LN('Closing Prices'!I229/'Closing Prices'!I228)</f>
        <v>3.6492861736558725E-2</v>
      </c>
      <c r="I230" s="3">
        <f>LN('Closing Prices'!J229/'Closing Prices'!J228)</f>
        <v>1.4585491018892793E-2</v>
      </c>
      <c r="J230" s="4">
        <f>LN('Closing Prices'!K229/'Closing Prices'!K228)</f>
        <v>-8.5586530943323087E-3</v>
      </c>
    </row>
    <row r="231" spans="4:10" x14ac:dyDescent="0.3">
      <c r="D231" s="13">
        <v>223</v>
      </c>
      <c r="E231" s="3">
        <f>LN('Closing Prices'!F230/'Closing Prices'!F229)</f>
        <v>-4.201647128723169E-2</v>
      </c>
      <c r="F231" s="3">
        <f>LN('Closing Prices'!G230/'Closing Prices'!G229)</f>
        <v>-3.5096794118975504E-2</v>
      </c>
      <c r="G231" s="3">
        <f>LN('Closing Prices'!H230/'Closing Prices'!H229)</f>
        <v>-1.972710567248484E-2</v>
      </c>
      <c r="H231" s="3">
        <f>LN('Closing Prices'!I230/'Closing Prices'!I229)</f>
        <v>-7.615738112214436E-2</v>
      </c>
      <c r="I231" s="3">
        <f>LN('Closing Prices'!J230/'Closing Prices'!J229)</f>
        <v>-4.2157146954975556E-2</v>
      </c>
      <c r="J231" s="4">
        <f>LN('Closing Prices'!K230/'Closing Prices'!K229)</f>
        <v>1.0922869962747121E-3</v>
      </c>
    </row>
    <row r="232" spans="4:10" x14ac:dyDescent="0.3">
      <c r="D232" s="13">
        <v>224</v>
      </c>
      <c r="E232" s="3">
        <f>LN('Closing Prices'!F231/'Closing Prices'!F230)</f>
        <v>3.3001153638945381E-2</v>
      </c>
      <c r="F232" s="3">
        <f>LN('Closing Prices'!G231/'Closing Prices'!G230)</f>
        <v>2.0324412352289444E-2</v>
      </c>
      <c r="G232" s="3">
        <f>LN('Closing Prices'!H231/'Closing Prices'!H230)</f>
        <v>4.5069696994293838E-3</v>
      </c>
      <c r="H232" s="3">
        <f>LN('Closing Prices'!I231/'Closing Prices'!I230)</f>
        <v>2.5173911936392686E-3</v>
      </c>
      <c r="I232" s="3">
        <f>LN('Closing Prices'!J231/'Closing Prices'!J230)</f>
        <v>2.1407325650020275E-2</v>
      </c>
      <c r="J232" s="4">
        <f>LN('Closing Prices'!K231/'Closing Prices'!K230)</f>
        <v>3.7311067026828603E-3</v>
      </c>
    </row>
    <row r="233" spans="4:10" x14ac:dyDescent="0.3">
      <c r="D233" s="13">
        <v>225</v>
      </c>
      <c r="E233" s="3">
        <f>LN('Closing Prices'!F232/'Closing Prices'!F231)</f>
        <v>-6.9664565147050511E-5</v>
      </c>
      <c r="F233" s="3">
        <f>LN('Closing Prices'!G232/'Closing Prices'!G231)</f>
        <v>8.82791412356531E-3</v>
      </c>
      <c r="G233" s="3">
        <f>LN('Closing Prices'!H232/'Closing Prices'!H231)</f>
        <v>-8.4135968689624668E-3</v>
      </c>
      <c r="H233" s="3">
        <f>LN('Closing Prices'!I232/'Closing Prices'!I231)</f>
        <v>-2.053184812412972E-3</v>
      </c>
      <c r="I233" s="3">
        <f>LN('Closing Prices'!J232/'Closing Prices'!J231)</f>
        <v>-7.1098474377882326E-4</v>
      </c>
      <c r="J233" s="4">
        <f>LN('Closing Prices'!K232/'Closing Prices'!K231)</f>
        <v>-4.7722171925225129E-4</v>
      </c>
    </row>
    <row r="234" spans="4:10" x14ac:dyDescent="0.3">
      <c r="D234" s="13">
        <v>226</v>
      </c>
      <c r="E234" s="3">
        <f>LN('Closing Prices'!F233/'Closing Prices'!F232)</f>
        <v>-2.6508561041009484E-3</v>
      </c>
      <c r="F234" s="3">
        <f>LN('Closing Prices'!G233/'Closing Prices'!G232)</f>
        <v>-7.1699685596003137E-3</v>
      </c>
      <c r="G234" s="3">
        <f>LN('Closing Prices'!H233/'Closing Prices'!H232)</f>
        <v>-1.0026709730626701E-2</v>
      </c>
      <c r="H234" s="3">
        <f>LN('Closing Prices'!I233/'Closing Prices'!I232)</f>
        <v>2.1193464453062739E-3</v>
      </c>
      <c r="I234" s="3">
        <f>LN('Closing Prices'!J233/'Closing Prices'!J232)</f>
        <v>1.0541680273419505E-2</v>
      </c>
      <c r="J234" s="4">
        <f>LN('Closing Prices'!K233/'Closing Prices'!K232)</f>
        <v>-1.154506566260039E-2</v>
      </c>
    </row>
    <row r="235" spans="4:10" x14ac:dyDescent="0.3">
      <c r="D235" s="13">
        <v>227</v>
      </c>
      <c r="E235" s="3">
        <f>LN('Closing Prices'!F234/'Closing Prices'!F233)</f>
        <v>-1.5379241059921302E-3</v>
      </c>
      <c r="F235" s="3">
        <f>LN('Closing Prices'!G234/'Closing Prices'!G233)</f>
        <v>2.6366824116010909E-3</v>
      </c>
      <c r="G235" s="3">
        <f>LN('Closing Prices'!H234/'Closing Prices'!H233)</f>
        <v>5.2417826625380847E-3</v>
      </c>
      <c r="H235" s="3">
        <f>LN('Closing Prices'!I234/'Closing Prices'!I233)</f>
        <v>-1.9204667999823226E-3</v>
      </c>
      <c r="I235" s="3">
        <f>LN('Closing Prices'!J234/'Closing Prices'!J233)</f>
        <v>7.2926485461413584E-3</v>
      </c>
      <c r="J235" s="4">
        <f>LN('Closing Prices'!K234/'Closing Prices'!K233)</f>
        <v>1.5104037408785655E-2</v>
      </c>
    </row>
    <row r="236" spans="4:10" x14ac:dyDescent="0.3">
      <c r="D236" s="13">
        <v>228</v>
      </c>
      <c r="E236" s="3">
        <f>LN('Closing Prices'!F235/'Closing Prices'!F234)</f>
        <v>2.0965833383992357E-3</v>
      </c>
      <c r="F236" s="3">
        <f>LN('Closing Prices'!G235/'Closing Prices'!G234)</f>
        <v>-6.1111589019640956E-3</v>
      </c>
      <c r="G236" s="3">
        <f>LN('Closing Prices'!H235/'Closing Prices'!H234)</f>
        <v>4.6986465069551793E-2</v>
      </c>
      <c r="H236" s="3">
        <f>LN('Closing Prices'!I235/'Closing Prices'!I234)</f>
        <v>-1.1938716016444387E-3</v>
      </c>
      <c r="I236" s="3">
        <f>LN('Closing Prices'!J235/'Closing Prices'!J234)</f>
        <v>-6.2375364305307691E-3</v>
      </c>
      <c r="J236" s="4">
        <f>LN('Closing Prices'!K235/'Closing Prices'!K234)</f>
        <v>2.5642627166063757E-3</v>
      </c>
    </row>
    <row r="237" spans="4:10" x14ac:dyDescent="0.3">
      <c r="D237" s="13">
        <v>229</v>
      </c>
      <c r="E237" s="3">
        <f>LN('Closing Prices'!F236/'Closing Prices'!F235)</f>
        <v>-3.7770206474412975E-3</v>
      </c>
      <c r="F237" s="3">
        <f>LN('Closing Prices'!G236/'Closing Prices'!G235)</f>
        <v>0</v>
      </c>
      <c r="G237" s="3">
        <f>LN('Closing Prices'!H236/'Closing Prices'!H235)</f>
        <v>1.0425059704941377E-2</v>
      </c>
      <c r="H237" s="3">
        <f>LN('Closing Prices'!I236/'Closing Prices'!I235)</f>
        <v>-4.4564242830413625E-3</v>
      </c>
      <c r="I237" s="3">
        <f>LN('Closing Prices'!J236/'Closing Prices'!J235)</f>
        <v>-1.2308282991794098E-2</v>
      </c>
      <c r="J237" s="4">
        <f>LN('Closing Prices'!K236/'Closing Prices'!K235)</f>
        <v>-6.8791129245621991E-3</v>
      </c>
    </row>
    <row r="238" spans="4:10" x14ac:dyDescent="0.3">
      <c r="D238" s="13">
        <v>230</v>
      </c>
      <c r="E238" s="3">
        <f>LN('Closing Prices'!F237/'Closing Prices'!F236)</f>
        <v>1.9602358559149325E-3</v>
      </c>
      <c r="F238" s="3">
        <f>LN('Closing Prices'!G237/'Closing Prices'!G236)</f>
        <v>-8.4511953782329483E-3</v>
      </c>
      <c r="G238" s="3">
        <f>LN('Closing Prices'!H237/'Closing Prices'!H236)</f>
        <v>-1.4049083455574694E-3</v>
      </c>
      <c r="H238" s="3">
        <f>LN('Closing Prices'!I237/'Closing Prices'!I236)</f>
        <v>-1.7347215452401131E-3</v>
      </c>
      <c r="I238" s="3">
        <f>LN('Closing Prices'!J237/'Closing Prices'!J236)</f>
        <v>-3.7793748412459009E-3</v>
      </c>
      <c r="J238" s="4">
        <f>LN('Closing Prices'!K237/'Closing Prices'!K236)</f>
        <v>-3.601654120501163E-3</v>
      </c>
    </row>
    <row r="239" spans="4:10" x14ac:dyDescent="0.3">
      <c r="D239" s="13">
        <v>231</v>
      </c>
      <c r="E239" s="3">
        <f>LN('Closing Prices'!F238/'Closing Prices'!F237)</f>
        <v>-6.9964321051688063E-4</v>
      </c>
      <c r="F239" s="3">
        <f>LN('Closing Prices'!G238/'Closing Prices'!G237)</f>
        <v>5.9545749198718582E-3</v>
      </c>
      <c r="G239" s="3">
        <f>LN('Closing Prices'!H238/'Closing Prices'!H237)</f>
        <v>9.2990332882319626E-3</v>
      </c>
      <c r="H239" s="3">
        <f>LN('Closing Prices'!I238/'Closing Prices'!I237)</f>
        <v>-1.0337050026735174E-2</v>
      </c>
      <c r="I239" s="3">
        <f>LN('Closing Prices'!J238/'Closing Prices'!J237)</f>
        <v>-2.2323484348616564E-2</v>
      </c>
      <c r="J239" s="4">
        <f>LN('Closing Prices'!K238/'Closing Prices'!K237)</f>
        <v>-1.4842114364371769E-2</v>
      </c>
    </row>
    <row r="240" spans="4:10" x14ac:dyDescent="0.3">
      <c r="D240" s="13">
        <v>232</v>
      </c>
      <c r="E240" s="3">
        <f>LN('Closing Prices'!F239/'Closing Prices'!F238)</f>
        <v>-1.6939987241382334E-2</v>
      </c>
      <c r="F240" s="3">
        <f>LN('Closing Prices'!G239/'Closing Prices'!G238)</f>
        <v>-4.6980302519235816E-3</v>
      </c>
      <c r="G240" s="3">
        <f>LN('Closing Prices'!H239/'Closing Prices'!H238)</f>
        <v>-9.5711791600980502E-3</v>
      </c>
      <c r="H240" s="3">
        <f>LN('Closing Prices'!I239/'Closing Prices'!I238)</f>
        <v>-1.2827871995032551E-3</v>
      </c>
      <c r="I240" s="3">
        <f>LN('Closing Prices'!J239/'Closing Prices'!J238)</f>
        <v>-5.1262534148233285E-2</v>
      </c>
      <c r="J240" s="4">
        <f>LN('Closing Prices'!K239/'Closing Prices'!K238)</f>
        <v>-1.286749608169572E-2</v>
      </c>
    </row>
    <row r="241" spans="4:10" x14ac:dyDescent="0.3">
      <c r="D241" s="13">
        <v>233</v>
      </c>
      <c r="E241" s="3">
        <f>LN('Closing Prices'!F240/'Closing Prices'!F239)</f>
        <v>-1.4959931552264271E-3</v>
      </c>
      <c r="F241" s="3">
        <f>LN('Closing Prices'!G240/'Closing Prices'!G239)</f>
        <v>2.9258119095302865E-3</v>
      </c>
      <c r="G241" s="3">
        <f>LN('Closing Prices'!H240/'Closing Prices'!H239)</f>
        <v>8.4022719551162129E-3</v>
      </c>
      <c r="H241" s="3">
        <f>LN('Closing Prices'!I240/'Closing Prices'!I239)</f>
        <v>-5.9628852652019258E-3</v>
      </c>
      <c r="I241" s="3">
        <f>LN('Closing Prices'!J240/'Closing Prices'!J239)</f>
        <v>9.2236747507769073E-4</v>
      </c>
      <c r="J241" s="4">
        <f>LN('Closing Prices'!K240/'Closing Prices'!K239)</f>
        <v>-5.8547038118653217E-3</v>
      </c>
    </row>
    <row r="242" spans="4:10" x14ac:dyDescent="0.3">
      <c r="D242" s="13">
        <v>234</v>
      </c>
      <c r="E242" s="3">
        <f>LN('Closing Prices'!F241/'Closing Prices'!F240)</f>
        <v>1.5351721677996977E-2</v>
      </c>
      <c r="F242" s="3">
        <f>LN('Closing Prices'!G241/'Closing Prices'!G240)</f>
        <v>3.6972469017968273E-3</v>
      </c>
      <c r="G242" s="3">
        <f>LN('Closing Prices'!H241/'Closing Prices'!H240)</f>
        <v>1.7977532931710625E-3</v>
      </c>
      <c r="H242" s="3">
        <f>LN('Closing Prices'!I241/'Closing Prices'!I240)</f>
        <v>2.3758623672926501E-3</v>
      </c>
      <c r="I242" s="3">
        <f>LN('Closing Prices'!J241/'Closing Prices'!J240)</f>
        <v>-1.2300124551998207E-3</v>
      </c>
      <c r="J242" s="4">
        <f>LN('Closing Prices'!K241/'Closing Prices'!K240)</f>
        <v>-2.5055881944488892E-2</v>
      </c>
    </row>
    <row r="243" spans="4:10" x14ac:dyDescent="0.3">
      <c r="D243" s="13">
        <v>235</v>
      </c>
      <c r="E243" s="3">
        <f>LN('Closing Prices'!F242/'Closing Prices'!F241)</f>
        <v>-5.5616321330514695E-3</v>
      </c>
      <c r="F243" s="3">
        <f>LN('Closing Prices'!G242/'Closing Prices'!G241)</f>
        <v>1.9457068412412959E-2</v>
      </c>
      <c r="G243" s="3">
        <f>LN('Closing Prices'!H242/'Closing Prices'!H241)</f>
        <v>1.859566908044083E-2</v>
      </c>
      <c r="H243" s="3">
        <f>LN('Closing Prices'!I242/'Closing Prices'!I241)</f>
        <v>-3.5963429791156659E-2</v>
      </c>
      <c r="I243" s="3">
        <f>LN('Closing Prices'!J242/'Closing Prices'!J241)</f>
        <v>-6.7922459339437328E-3</v>
      </c>
      <c r="J243" s="4">
        <f>LN('Closing Prices'!K242/'Closing Prices'!K241)</f>
        <v>-1.9271034421168343E-2</v>
      </c>
    </row>
    <row r="244" spans="4:10" x14ac:dyDescent="0.3">
      <c r="D244" s="13">
        <v>236</v>
      </c>
      <c r="E244" s="3">
        <f>LN('Closing Prices'!F243/'Closing Prices'!F242)</f>
        <v>-4.7411899307960555E-3</v>
      </c>
      <c r="F244" s="3">
        <f>LN('Closing Prices'!G243/'Closing Prices'!G242)</f>
        <v>-1.779516203146508E-2</v>
      </c>
      <c r="G244" s="3">
        <f>LN('Closing Prices'!H243/'Closing Prices'!H242)</f>
        <v>-1.2150386719880769E-2</v>
      </c>
      <c r="H244" s="3">
        <f>LN('Closing Prices'!I243/'Closing Prices'!I242)</f>
        <v>1.9626212809887772E-2</v>
      </c>
      <c r="I244" s="3">
        <f>LN('Closing Prices'!J243/'Closing Prices'!J242)</f>
        <v>3.3247024864801857E-3</v>
      </c>
      <c r="J244" s="4">
        <f>LN('Closing Prices'!K243/'Closing Prices'!K242)</f>
        <v>6.0753096868230924E-3</v>
      </c>
    </row>
    <row r="245" spans="4:10" x14ac:dyDescent="0.3">
      <c r="D245" s="13">
        <v>237</v>
      </c>
      <c r="E245" s="3">
        <f>LN('Closing Prices'!F244/'Closing Prices'!F243)</f>
        <v>-2.2013145761248464E-3</v>
      </c>
      <c r="F245" s="3">
        <f>LN('Closing Prices'!G244/'Closing Prices'!G243)</f>
        <v>-1.0642283133475912E-2</v>
      </c>
      <c r="G245" s="3">
        <f>LN('Closing Prices'!H244/'Closing Prices'!H243)</f>
        <v>-2.4067083281321976E-2</v>
      </c>
      <c r="H245" s="3">
        <f>LN('Closing Prices'!I244/'Closing Prices'!I243)</f>
        <v>-2.1948276971161938E-2</v>
      </c>
      <c r="I245" s="3">
        <f>LN('Closing Prices'!J244/'Closing Prices'!J243)</f>
        <v>-1.6342776185994504E-2</v>
      </c>
      <c r="J245" s="4">
        <f>LN('Closing Prices'!K244/'Closing Prices'!K243)</f>
        <v>-1.848450495560567E-2</v>
      </c>
    </row>
    <row r="246" spans="4:10" x14ac:dyDescent="0.3">
      <c r="D246" s="13">
        <v>238</v>
      </c>
      <c r="E246" s="3">
        <f>LN('Closing Prices'!F245/'Closing Prices'!F244)</f>
        <v>-3.6412404512166777E-2</v>
      </c>
      <c r="F246" s="3">
        <f>LN('Closing Prices'!G245/'Closing Prices'!G244)</f>
        <v>-1.5166618302190838E-2</v>
      </c>
      <c r="G246" s="3">
        <f>LN('Closing Prices'!H245/'Closing Prices'!H244)</f>
        <v>-3.0015009757132952E-2</v>
      </c>
      <c r="H246" s="3">
        <f>LN('Closing Prices'!I245/'Closing Prices'!I244)</f>
        <v>-4.5188243243254765E-3</v>
      </c>
      <c r="I246" s="3">
        <f>LN('Closing Prices'!J245/'Closing Prices'!J244)</f>
        <v>-2.800724074534167E-2</v>
      </c>
      <c r="J246" s="4">
        <f>LN('Closing Prices'!K245/'Closing Prices'!K244)</f>
        <v>3.4206808219735284E-2</v>
      </c>
    </row>
    <row r="247" spans="4:10" x14ac:dyDescent="0.3">
      <c r="D247" s="13">
        <v>239</v>
      </c>
      <c r="E247" s="3">
        <f>LN('Closing Prices'!F246/'Closing Prices'!F245)</f>
        <v>-4.5814016437134807E-3</v>
      </c>
      <c r="F247" s="3">
        <f>LN('Closing Prices'!G246/'Closing Prices'!G245)</f>
        <v>-6.9999484308074745E-3</v>
      </c>
      <c r="G247" s="3">
        <f>LN('Closing Prices'!H246/'Closing Prices'!H245)</f>
        <v>-1.5081537404755397E-3</v>
      </c>
      <c r="H247" s="3">
        <f>LN('Closing Prices'!I246/'Closing Prices'!I245)</f>
        <v>9.0874493855408068E-3</v>
      </c>
      <c r="I247" s="3">
        <f>LN('Closing Prices'!J246/'Closing Prices'!J245)</f>
        <v>6.453174378981835E-4</v>
      </c>
      <c r="J247" s="4">
        <f>LN('Closing Prices'!K246/'Closing Prices'!K245)</f>
        <v>2.0836093720099497E-2</v>
      </c>
    </row>
    <row r="248" spans="4:10" x14ac:dyDescent="0.3">
      <c r="D248" s="13">
        <v>240</v>
      </c>
      <c r="E248" s="3">
        <f>LN('Closing Prices'!F247/'Closing Prices'!F246)</f>
        <v>-2.8966842985409174E-2</v>
      </c>
      <c r="F248" s="3">
        <f>LN('Closing Prices'!G247/'Closing Prices'!G246)</f>
        <v>-3.1677781174310221E-2</v>
      </c>
      <c r="G248" s="3">
        <f>LN('Closing Prices'!H247/'Closing Prices'!H246)</f>
        <v>-4.2539176498829394E-3</v>
      </c>
      <c r="H248" s="3">
        <f>LN('Closing Prices'!I247/'Closing Prices'!I246)</f>
        <v>-1.167376462146469E-2</v>
      </c>
      <c r="I248" s="3">
        <f>LN('Closing Prices'!J247/'Closing Prices'!J246)</f>
        <v>-1.7202189095919938E-2</v>
      </c>
      <c r="J248" s="4">
        <f>LN('Closing Prices'!K247/'Closing Prices'!K246)</f>
        <v>1.0468360046585496E-3</v>
      </c>
    </row>
    <row r="249" spans="4:10" x14ac:dyDescent="0.3">
      <c r="D249" s="13">
        <v>241</v>
      </c>
      <c r="E249" s="3">
        <f>LN('Closing Prices'!F248/'Closing Prices'!F247)</f>
        <v>-8.3064268288148765E-3</v>
      </c>
      <c r="F249" s="3">
        <f>LN('Closing Prices'!G248/'Closing Prices'!G247)</f>
        <v>-2.337896079569329E-2</v>
      </c>
      <c r="G249" s="3">
        <f>LN('Closing Prices'!H248/'Closing Prices'!H247)</f>
        <v>-2.8100506465981206E-2</v>
      </c>
      <c r="H249" s="3">
        <f>LN('Closing Prices'!I248/'Closing Prices'!I247)</f>
        <v>-4.0879498124961637E-3</v>
      </c>
      <c r="I249" s="3">
        <f>LN('Closing Prices'!J248/'Closing Prices'!J247)</f>
        <v>-2.7951742803565383E-2</v>
      </c>
      <c r="J249" s="4">
        <f>LN('Closing Prices'!K248/'Closing Prices'!K247)</f>
        <v>-9.207272081084834E-3</v>
      </c>
    </row>
    <row r="250" spans="4:10" x14ac:dyDescent="0.3">
      <c r="D250" s="13">
        <v>242</v>
      </c>
      <c r="E250" s="3">
        <f>LN('Closing Prices'!F249/'Closing Prices'!F248)</f>
        <v>-6.9212137957262384E-4</v>
      </c>
      <c r="F250" s="3">
        <f>LN('Closing Prices'!G249/'Closing Prices'!G248)</f>
        <v>2.3485148663475877E-3</v>
      </c>
      <c r="G250" s="3">
        <f>LN('Closing Prices'!H249/'Closing Prices'!H248)</f>
        <v>1.1928382440944214E-3</v>
      </c>
      <c r="H250" s="3">
        <f>LN('Closing Prices'!I249/'Closing Prices'!I248)</f>
        <v>1.7723323581954293E-2</v>
      </c>
      <c r="I250" s="3">
        <f>LN('Closing Prices'!J249/'Closing Prices'!J248)</f>
        <v>-2.6609802189722039E-3</v>
      </c>
      <c r="J250" s="4">
        <f>LN('Closing Prices'!K249/'Closing Prices'!K248)</f>
        <v>1.267633567481717E-2</v>
      </c>
    </row>
    <row r="251" spans="4:10" x14ac:dyDescent="0.3">
      <c r="D251" s="13">
        <v>243</v>
      </c>
      <c r="E251" s="3">
        <f>LN('Closing Prices'!F250/'Closing Prices'!F249)</f>
        <v>-9.5461506786832101E-3</v>
      </c>
      <c r="F251" s="3">
        <f>LN('Closing Prices'!G250/'Closing Prices'!G249)</f>
        <v>-6.4930690148921263E-3</v>
      </c>
      <c r="G251" s="3">
        <f>LN('Closing Prices'!H250/'Closing Prices'!H249)</f>
        <v>-8.4535074634526017E-3</v>
      </c>
      <c r="H251" s="3">
        <f>LN('Closing Prices'!I250/'Closing Prices'!I249)</f>
        <v>-2.2686821782976384E-2</v>
      </c>
      <c r="I251" s="3">
        <f>LN('Closing Prices'!J250/'Closing Prices'!J249)</f>
        <v>-1.4055344464482448E-2</v>
      </c>
      <c r="J251" s="4">
        <f>LN('Closing Prices'!K250/'Closing Prices'!K249)</f>
        <v>3.2001898765970809E-3</v>
      </c>
    </row>
    <row r="252" spans="4:10" x14ac:dyDescent="0.3">
      <c r="D252" s="13">
        <v>244</v>
      </c>
      <c r="E252" s="3">
        <f>LN('Closing Prices'!F251/'Closing Prices'!F250)</f>
        <v>3.641479795462791E-2</v>
      </c>
      <c r="F252" s="3">
        <f>LN('Closing Prices'!G251/'Closing Prices'!G250)</f>
        <v>3.3345746868362842E-2</v>
      </c>
      <c r="G252" s="3">
        <f>LN('Closing Prices'!H251/'Closing Prices'!H250)</f>
        <v>4.5141723349355567E-2</v>
      </c>
      <c r="H252" s="3">
        <f>LN('Closing Prices'!I251/'Closing Prices'!I250)</f>
        <v>3.8552731157070447E-2</v>
      </c>
      <c r="I252" s="3">
        <f>LN('Closing Prices'!J251/'Closing Prices'!J250)</f>
        <v>3.290880834702041E-2</v>
      </c>
      <c r="J252" s="4">
        <f>LN('Closing Prices'!K251/'Closing Prices'!K250)</f>
        <v>-6.2085225454894689E-3</v>
      </c>
    </row>
    <row r="253" spans="4:10" x14ac:dyDescent="0.3">
      <c r="D253" s="13">
        <v>245</v>
      </c>
      <c r="E253" s="3">
        <f>LN('Closing Prices'!F252/'Closing Prices'!F251)</f>
        <v>-4.3154465906568807E-3</v>
      </c>
      <c r="F253" s="3">
        <f>LN('Closing Prices'!G252/'Closing Prices'!G251)</f>
        <v>-1.2430430116234001E-2</v>
      </c>
      <c r="G253" s="3">
        <f>LN('Closing Prices'!H252/'Closing Prices'!H251)</f>
        <v>3.0483873094860859E-4</v>
      </c>
      <c r="H253" s="3">
        <f>LN('Closing Prices'!I252/'Closing Prices'!I251)</f>
        <v>3.0428207796425188E-2</v>
      </c>
      <c r="I253" s="3">
        <f>LN('Closing Prices'!J252/'Closing Prices'!J251)</f>
        <v>3.5872436848292472E-2</v>
      </c>
      <c r="J253" s="4">
        <f>LN('Closing Prices'!K252/'Closing Prices'!K251)</f>
        <v>7.5995608436252582E-3</v>
      </c>
    </row>
    <row r="254" spans="4:10" x14ac:dyDescent="0.3">
      <c r="D254" s="13">
        <v>246</v>
      </c>
      <c r="E254" s="3">
        <f>LN('Closing Prices'!F253/'Closing Prices'!F252)</f>
        <v>1.2778113584738225E-3</v>
      </c>
      <c r="F254" s="3">
        <f>LN('Closing Prices'!G253/'Closing Prices'!G252)</f>
        <v>1.1415049614264341E-3</v>
      </c>
      <c r="G254" s="3">
        <f>LN('Closing Prices'!H253/'Closing Prices'!H252)</f>
        <v>1.0263198876012977E-2</v>
      </c>
      <c r="H254" s="3">
        <f>LN('Closing Prices'!I253/'Closing Prices'!I252)</f>
        <v>3.5222652131766945E-2</v>
      </c>
      <c r="I254" s="3">
        <f>LN('Closing Prices'!J253/'Closing Prices'!J252)</f>
        <v>1.9601182346310401E-3</v>
      </c>
      <c r="J254" s="4">
        <f>LN('Closing Prices'!K253/'Closing Prices'!K252)</f>
        <v>4.6700731868050032E-3</v>
      </c>
    </row>
    <row r="255" spans="4:10" x14ac:dyDescent="0.3">
      <c r="D255" s="13">
        <v>247</v>
      </c>
      <c r="E255" s="3">
        <f>LN('Closing Prices'!F254/'Closing Prices'!F253)</f>
        <v>-9.6615462643718786E-3</v>
      </c>
      <c r="F255" s="3">
        <f>LN('Closing Prices'!G254/'Closing Prices'!G253)</f>
        <v>-1.6298838963033194E-2</v>
      </c>
      <c r="G255" s="3">
        <f>LN('Closing Prices'!H254/'Closing Prices'!H253)</f>
        <v>-4.046046677644184E-3</v>
      </c>
      <c r="H255" s="3">
        <f>LN('Closing Prices'!I254/'Closing Prices'!I253)</f>
        <v>-1.5374167249588077E-2</v>
      </c>
      <c r="I255" s="3">
        <f>LN('Closing Prices'!J254/'Closing Prices'!J253)</f>
        <v>1.1582627355818872E-3</v>
      </c>
      <c r="J255" s="4">
        <f>LN('Closing Prices'!K254/'Closing Prices'!K253)</f>
        <v>-1.2342490607589934E-2</v>
      </c>
    </row>
    <row r="256" spans="4:10" x14ac:dyDescent="0.3">
      <c r="D256" s="13">
        <v>248</v>
      </c>
      <c r="E256" s="3">
        <f>LN('Closing Prices'!F255/'Closing Prices'!F254)</f>
        <v>2.2424818494154571E-2</v>
      </c>
      <c r="F256" s="3">
        <f>LN('Closing Prices'!G255/'Closing Prices'!G254)</f>
        <v>3.3567757250343631E-2</v>
      </c>
      <c r="G256" s="3">
        <f>LN('Closing Prices'!H255/'Closing Prices'!H254)</f>
        <v>1.1720965298156673E-2</v>
      </c>
      <c r="H256" s="3">
        <f>LN('Closing Prices'!I255/'Closing Prices'!I254)</f>
        <v>2.8512013226648189E-2</v>
      </c>
      <c r="I256" s="3">
        <f>LN('Closing Prices'!J255/'Closing Prices'!J254)</f>
        <v>1.7803215798183745E-2</v>
      </c>
      <c r="J256" s="4">
        <f>LN('Closing Prices'!K255/'Closing Prices'!K254)</f>
        <v>-4.6833417365083011E-3</v>
      </c>
    </row>
    <row r="257" spans="4:10" x14ac:dyDescent="0.3">
      <c r="D257" s="13">
        <v>249</v>
      </c>
      <c r="E257" s="3">
        <f>LN('Closing Prices'!F256/'Closing Prices'!F255)</f>
        <v>-8.7151389606793632E-3</v>
      </c>
      <c r="F257" s="3">
        <f>LN('Closing Prices'!G256/'Closing Prices'!G255)</f>
        <v>-1.5601267687997075E-3</v>
      </c>
      <c r="G257" s="3">
        <f>LN('Closing Prices'!H256/'Closing Prices'!H255)</f>
        <v>-1.9792034131948355E-2</v>
      </c>
      <c r="H257" s="3">
        <f>LN('Closing Prices'!I256/'Closing Prices'!I255)</f>
        <v>2.0730375035321508E-2</v>
      </c>
      <c r="I257" s="3">
        <f>LN('Closing Prices'!J256/'Closing Prices'!J255)</f>
        <v>2.4282313266852495E-3</v>
      </c>
      <c r="J257" s="4">
        <f>LN('Closing Prices'!K256/'Closing Prices'!K255)</f>
        <v>1.888886271052112E-4</v>
      </c>
    </row>
    <row r="258" spans="4:10" x14ac:dyDescent="0.3">
      <c r="D258" s="13">
        <v>250</v>
      </c>
      <c r="E258" s="3">
        <f>LN('Closing Prices'!F257/'Closing Prices'!F256)</f>
        <v>-5.6126173107213996E-4</v>
      </c>
      <c r="F258" s="3">
        <f>LN('Closing Prices'!G257/'Closing Prices'!G256)</f>
        <v>-1.0352800416189727E-2</v>
      </c>
      <c r="G258" s="3">
        <f>LN('Closing Prices'!H257/'Closing Prices'!H256)</f>
        <v>7.6049552800929784E-3</v>
      </c>
      <c r="H258" s="3">
        <f>LN('Closing Prices'!I257/'Closing Prices'!I256)</f>
        <v>-2.5601013046041479E-3</v>
      </c>
      <c r="I258" s="3">
        <f>LN('Closing Prices'!J257/'Closing Prices'!J256)</f>
        <v>-4.03724213238586E-3</v>
      </c>
      <c r="J258" s="4">
        <f>LN('Closing Prices'!K257/'Closing Prices'!K256)</f>
        <v>-4.7946286091993017E-3</v>
      </c>
    </row>
    <row r="259" spans="4:10" x14ac:dyDescent="0.3">
      <c r="D259" s="13">
        <v>251</v>
      </c>
      <c r="E259" s="3">
        <f>LN('Closing Prices'!F258/'Closing Prices'!F257)</f>
        <v>5.8217808855976572E-3</v>
      </c>
      <c r="F259" s="3">
        <f>LN('Closing Prices'!G258/'Closing Prices'!G257)</f>
        <v>8.2139381332087449E-3</v>
      </c>
      <c r="G259" s="3">
        <f>LN('Closing Prices'!H258/'Closing Prices'!H257)</f>
        <v>1.1634236305755934E-2</v>
      </c>
      <c r="H259" s="3">
        <f>LN('Closing Prices'!I258/'Closing Prices'!I257)</f>
        <v>1.796882201162698E-2</v>
      </c>
      <c r="I259" s="3">
        <f>LN('Closing Prices'!J258/'Closing Prices'!J257)</f>
        <v>9.6932554942533843E-3</v>
      </c>
      <c r="J259" s="4">
        <f>LN('Closing Prices'!K258/'Closing Prices'!K257)</f>
        <v>-5.6000343160485645E-4</v>
      </c>
    </row>
    <row r="260" spans="4:10" ht="16.2" thickBot="1" x14ac:dyDescent="0.35">
      <c r="D260" s="14">
        <v>252</v>
      </c>
      <c r="E260" s="5">
        <f>LN('Closing Prices'!F259/'Closing Prices'!F258)</f>
        <v>1.0696476691157059E-2</v>
      </c>
      <c r="F260" s="5">
        <f>LN('Closing Prices'!G259/'Closing Prices'!G258)</f>
        <v>-1.1846222283681576E-2</v>
      </c>
      <c r="G260" s="5">
        <f>LN('Closing Prices'!H259/'Closing Prices'!H258)</f>
        <v>2.830092889030742E-3</v>
      </c>
      <c r="H260" s="5">
        <f>LN('Closing Prices'!I259/'Closing Prices'!I258)</f>
        <v>-2.2166560147327534E-2</v>
      </c>
      <c r="I260" s="5">
        <f>LN('Closing Prices'!J259/'Closing Prices'!J258)</f>
        <v>1.2869494156633641E-2</v>
      </c>
      <c r="J260" s="6">
        <f>LN('Closing Prices'!K259/'Closing Prices'!K258)</f>
        <v>-4.6532609277244121E-4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AG263"/>
  <sheetViews>
    <sheetView topLeftCell="Y6" zoomScale="76" zoomScaleNormal="55" workbookViewId="0">
      <selection activeCell="Z24" sqref="Z24"/>
    </sheetView>
  </sheetViews>
  <sheetFormatPr defaultRowHeight="15.6" x14ac:dyDescent="0.3"/>
  <cols>
    <col min="3" max="3" width="14.19921875" customWidth="1"/>
    <col min="4" max="4" width="12.796875" customWidth="1"/>
    <col min="5" max="5" width="12.59765625" customWidth="1"/>
    <col min="6" max="6" width="19.09765625" customWidth="1"/>
    <col min="7" max="8" width="12.3984375" customWidth="1"/>
    <col min="9" max="9" width="22.5" customWidth="1"/>
    <col min="10" max="10" width="11.69921875" customWidth="1"/>
    <col min="12" max="12" width="20.796875" customWidth="1"/>
    <col min="13" max="13" width="13.3984375" customWidth="1"/>
    <col min="14" max="14" width="11.59765625" customWidth="1"/>
    <col min="15" max="15" width="19.59765625" customWidth="1"/>
    <col min="16" max="16" width="11.8984375" customWidth="1"/>
    <col min="17" max="17" width="20.8984375" customWidth="1"/>
    <col min="23" max="23" width="8.19921875" customWidth="1"/>
    <col min="24" max="25" width="19.69921875" customWidth="1"/>
    <col min="27" max="27" width="11.59765625" customWidth="1"/>
    <col min="28" max="28" width="12.69921875" customWidth="1"/>
    <col min="29" max="29" width="19.09765625" customWidth="1"/>
    <col min="30" max="30" width="12.8984375" customWidth="1"/>
    <col min="31" max="31" width="20.3984375" customWidth="1"/>
  </cols>
  <sheetData>
    <row r="3" spans="3:33" ht="16.2" thickBot="1" x14ac:dyDescent="0.35"/>
    <row r="4" spans="3:33" ht="18" x14ac:dyDescent="0.35">
      <c r="L4" s="21" t="s">
        <v>8</v>
      </c>
      <c r="M4" s="15">
        <f>AVERAGE(M11:M262)</f>
        <v>3.4391554021495944E-4</v>
      </c>
      <c r="N4" s="15">
        <f t="shared" ref="N4:Q4" si="0">AVERAGE(N11:N262)</f>
        <v>3.316155823332678E-3</v>
      </c>
      <c r="O4" s="15">
        <f t="shared" si="0"/>
        <v>6.9734937113933651E-3</v>
      </c>
      <c r="P4" s="15">
        <f t="shared" si="0"/>
        <v>9.4005267482217246E-4</v>
      </c>
      <c r="Q4" s="16">
        <f t="shared" si="0"/>
        <v>-2.4435467907665175E-4</v>
      </c>
    </row>
    <row r="5" spans="3:33" ht="18" x14ac:dyDescent="0.35">
      <c r="L5" s="22" t="s">
        <v>9</v>
      </c>
      <c r="M5" s="17">
        <f>_xlfn.VAR.S(M11:M262)</f>
        <v>1.2213829070612488E-4</v>
      </c>
      <c r="N5" s="17">
        <f t="shared" ref="N5:P5" si="1">_xlfn.VAR.S(N11:N262)</f>
        <v>2.0608985559532858E-3</v>
      </c>
      <c r="O5" s="17">
        <f t="shared" si="1"/>
        <v>1.060948431659582E-2</v>
      </c>
      <c r="P5" s="17">
        <f t="shared" si="1"/>
        <v>2.7018940654429725E-4</v>
      </c>
      <c r="Q5" s="18">
        <f>_xlfn.VAR.S(Q11:Q262)</f>
        <v>1.6386129199500555E-4</v>
      </c>
    </row>
    <row r="6" spans="3:33" ht="18.600000000000001" thickBot="1" x14ac:dyDescent="0.4">
      <c r="L6" s="23" t="s">
        <v>10</v>
      </c>
      <c r="M6" s="19">
        <f>SQRT(M5)</f>
        <v>1.1051619370306095E-2</v>
      </c>
      <c r="N6" s="19">
        <f t="shared" ref="N6:Q6" si="2">SQRT(N5)</f>
        <v>4.5397120568966547E-2</v>
      </c>
      <c r="O6" s="19">
        <f t="shared" si="2"/>
        <v>0.10300235102460438</v>
      </c>
      <c r="P6" s="19">
        <f t="shared" si="2"/>
        <v>1.6437439172337559E-2</v>
      </c>
      <c r="Q6" s="20">
        <f t="shared" si="2"/>
        <v>1.2800831691534951E-2</v>
      </c>
    </row>
    <row r="8" spans="3:33" ht="21" x14ac:dyDescent="0.4">
      <c r="C8" s="30" t="s">
        <v>11</v>
      </c>
    </row>
    <row r="9" spans="3:33" ht="21.6" thickBot="1" x14ac:dyDescent="0.45">
      <c r="L9" s="30" t="s">
        <v>7</v>
      </c>
      <c r="X9" s="30" t="s">
        <v>13</v>
      </c>
    </row>
    <row r="10" spans="3:33" x14ac:dyDescent="0.3">
      <c r="C10" s="49" t="s">
        <v>5</v>
      </c>
      <c r="D10" s="50" t="s">
        <v>6</v>
      </c>
      <c r="E10" s="50" t="s">
        <v>0</v>
      </c>
      <c r="F10" s="50" t="s">
        <v>1</v>
      </c>
      <c r="G10" s="50" t="s">
        <v>2</v>
      </c>
      <c r="H10" s="50" t="s">
        <v>3</v>
      </c>
      <c r="I10" s="51" t="s">
        <v>4</v>
      </c>
      <c r="J10" s="66" t="s">
        <v>21</v>
      </c>
      <c r="L10" s="54" t="s">
        <v>6</v>
      </c>
      <c r="M10" s="55" t="s">
        <v>0</v>
      </c>
      <c r="N10" s="55" t="s">
        <v>1</v>
      </c>
      <c r="O10" s="55" t="s">
        <v>2</v>
      </c>
      <c r="P10" s="55" t="s">
        <v>3</v>
      </c>
      <c r="Q10" s="55" t="s">
        <v>4</v>
      </c>
      <c r="R10" s="67"/>
    </row>
    <row r="11" spans="3:33" x14ac:dyDescent="0.3">
      <c r="C11" s="8">
        <v>1</v>
      </c>
      <c r="D11" s="25">
        <v>46101</v>
      </c>
      <c r="E11" s="26">
        <v>1245.4000000000001</v>
      </c>
      <c r="F11" s="27">
        <v>780.45</v>
      </c>
      <c r="G11" s="27">
        <v>375.4</v>
      </c>
      <c r="H11" s="26">
        <v>1256.8</v>
      </c>
      <c r="I11" s="52">
        <v>1384.8</v>
      </c>
      <c r="J11" s="44">
        <v>21327.9</v>
      </c>
      <c r="L11" s="56">
        <v>1</v>
      </c>
      <c r="M11" s="47">
        <f>LN(E12/E11)</f>
        <v>3.7667846581658205E-3</v>
      </c>
      <c r="N11" s="47">
        <f>LN(F12/F11)</f>
        <v>2.2488516210211387E-2</v>
      </c>
      <c r="O11" s="47">
        <f t="shared" ref="O11:Q11" si="3">LN(G12/G11)</f>
        <v>-3.2017103124191522E-3</v>
      </c>
      <c r="P11" s="47">
        <f t="shared" si="3"/>
        <v>-7.163609173301877E-4</v>
      </c>
      <c r="Q11" s="47">
        <f t="shared" si="3"/>
        <v>1.6685553061266446E-2</v>
      </c>
      <c r="R11" s="57"/>
      <c r="AA11" s="31" t="s">
        <v>0</v>
      </c>
      <c r="AB11" s="31" t="s">
        <v>1</v>
      </c>
      <c r="AC11" s="31" t="s">
        <v>2</v>
      </c>
      <c r="AD11" s="31" t="s">
        <v>3</v>
      </c>
      <c r="AE11" s="31" t="s">
        <v>4</v>
      </c>
      <c r="AF11" s="27"/>
      <c r="AG11" s="27"/>
    </row>
    <row r="12" spans="3:33" ht="16.2" thickBot="1" x14ac:dyDescent="0.35">
      <c r="C12" s="8">
        <v>2</v>
      </c>
      <c r="D12" s="25">
        <v>46100</v>
      </c>
      <c r="E12" s="26">
        <v>1250.0999999999999</v>
      </c>
      <c r="F12" s="27">
        <v>798.2</v>
      </c>
      <c r="G12" s="27">
        <v>374.2</v>
      </c>
      <c r="H12" s="26">
        <v>1255.9000000000001</v>
      </c>
      <c r="I12" s="52">
        <v>1408.1</v>
      </c>
      <c r="J12" s="44">
        <v>21225.8</v>
      </c>
      <c r="L12" s="58">
        <v>2</v>
      </c>
      <c r="M12" s="47">
        <f t="shared" ref="M12:M75" si="4">LN(E13/E12)</f>
        <v>3.0875887320274492E-2</v>
      </c>
      <c r="N12" s="47">
        <f t="shared" ref="N12:N75" si="5">LN(F13/F12)</f>
        <v>5.4667075609356026E-2</v>
      </c>
      <c r="O12" s="47">
        <f t="shared" ref="O12:O75" si="6">LN(G13/G12)</f>
        <v>-1.1692895806112541E-2</v>
      </c>
      <c r="P12" s="47">
        <f t="shared" ref="P12:P75" si="7">LN(H13/H12)</f>
        <v>-2.8346065493888566E-2</v>
      </c>
      <c r="Q12" s="47">
        <f t="shared" ref="Q12:Q75" si="8">LN(I13/I12)</f>
        <v>-7.4847981034191109E-3</v>
      </c>
      <c r="R12" s="57"/>
      <c r="Y12" s="1" t="s">
        <v>12</v>
      </c>
      <c r="AA12" s="33">
        <v>0.2</v>
      </c>
      <c r="AB12" s="33">
        <v>0.2</v>
      </c>
      <c r="AC12" s="33">
        <v>0.2</v>
      </c>
      <c r="AD12" s="33">
        <v>0.2</v>
      </c>
      <c r="AE12" s="33">
        <v>0.2</v>
      </c>
    </row>
    <row r="13" spans="3:33" x14ac:dyDescent="0.3">
      <c r="C13" s="8">
        <v>3</v>
      </c>
      <c r="D13" s="25">
        <v>46099</v>
      </c>
      <c r="E13" s="26">
        <v>1289.3</v>
      </c>
      <c r="F13" s="27">
        <v>843.05</v>
      </c>
      <c r="G13" s="27">
        <v>369.85</v>
      </c>
      <c r="H13" s="26">
        <v>1220.8</v>
      </c>
      <c r="I13" s="52">
        <v>1397.6</v>
      </c>
      <c r="J13" s="44">
        <v>21917.4</v>
      </c>
      <c r="L13" s="56">
        <v>3</v>
      </c>
      <c r="M13" s="47">
        <f t="shared" si="4"/>
        <v>-4.6547712244640903E-4</v>
      </c>
      <c r="N13" s="47">
        <f t="shared" si="5"/>
        <v>2.7244745589858582E-3</v>
      </c>
      <c r="O13" s="47">
        <f t="shared" si="6"/>
        <v>-8.1444728738733624E-3</v>
      </c>
      <c r="P13" s="47">
        <f t="shared" si="7"/>
        <v>3.7224443274669922E-2</v>
      </c>
      <c r="Q13" s="47">
        <f t="shared" si="8"/>
        <v>-1.7903825457844284E-3</v>
      </c>
      <c r="R13" s="57"/>
      <c r="X13" s="31" t="s">
        <v>0</v>
      </c>
      <c r="Y13" s="32">
        <f>M4</f>
        <v>3.4391554021495944E-4</v>
      </c>
      <c r="Z13" s="33">
        <v>0.2</v>
      </c>
      <c r="AA13" s="36">
        <f t="array" ref="AA13:AE17">MMULT(TRANSPOSE(M11:Q262),M11:Q262)/252</f>
        <v>1.2177189284815591E-4</v>
      </c>
      <c r="AB13" s="37">
        <v>8.1525654678926606E-5</v>
      </c>
      <c r="AC13" s="37">
        <v>1.5502937423889689E-4</v>
      </c>
      <c r="AD13" s="37">
        <v>2.0698240802506689E-5</v>
      </c>
      <c r="AE13" s="38">
        <v>3.562954599493307E-5</v>
      </c>
    </row>
    <row r="14" spans="3:33" x14ac:dyDescent="0.3">
      <c r="C14" s="8">
        <v>4</v>
      </c>
      <c r="D14" s="25">
        <v>46098</v>
      </c>
      <c r="E14" s="26">
        <v>1288.7</v>
      </c>
      <c r="F14" s="27">
        <v>845.35</v>
      </c>
      <c r="G14" s="27">
        <v>366.85</v>
      </c>
      <c r="H14" s="26">
        <v>1267.0999999999999</v>
      </c>
      <c r="I14" s="52">
        <v>1395.1</v>
      </c>
      <c r="J14" s="44">
        <v>21669.3</v>
      </c>
      <c r="L14" s="58">
        <v>4</v>
      </c>
      <c r="M14" s="47">
        <f t="shared" si="4"/>
        <v>-1.2336196417956583E-2</v>
      </c>
      <c r="N14" s="47">
        <f t="shared" si="5"/>
        <v>-5.6348202119591408E-3</v>
      </c>
      <c r="O14" s="47">
        <f t="shared" si="6"/>
        <v>2.2772660980971832E-2</v>
      </c>
      <c r="P14" s="47">
        <f t="shared" si="7"/>
        <v>-2.7361706930355365E-2</v>
      </c>
      <c r="Q14" s="47">
        <f t="shared" si="8"/>
        <v>-1.0375480351955601E-2</v>
      </c>
      <c r="R14" s="57"/>
      <c r="X14" s="31" t="s">
        <v>1</v>
      </c>
      <c r="Y14" s="32">
        <f>N4</f>
        <v>3.316155823332678E-3</v>
      </c>
      <c r="Z14" s="33">
        <v>0.2</v>
      </c>
      <c r="AA14" s="39">
        <v>8.1525654678926606E-5</v>
      </c>
      <c r="AB14" s="35">
        <v>2.0637172765250785E-3</v>
      </c>
      <c r="AC14" s="35">
        <v>2.6388553204466874E-5</v>
      </c>
      <c r="AD14" s="35">
        <v>8.0076129497113672E-5</v>
      </c>
      <c r="AE14" s="40">
        <v>8.5259812618013222E-5</v>
      </c>
    </row>
    <row r="15" spans="3:33" x14ac:dyDescent="0.3">
      <c r="C15" s="8">
        <v>5</v>
      </c>
      <c r="D15" s="25">
        <v>46097</v>
      </c>
      <c r="E15" s="26">
        <v>1272.9000000000001</v>
      </c>
      <c r="F15" s="27">
        <v>840.6</v>
      </c>
      <c r="G15" s="27">
        <v>375.3</v>
      </c>
      <c r="H15" s="26">
        <v>1232.9000000000001</v>
      </c>
      <c r="I15" s="52">
        <v>1380.7</v>
      </c>
      <c r="J15" s="44">
        <v>21498.799999999999</v>
      </c>
      <c r="L15" s="56">
        <v>5</v>
      </c>
      <c r="M15" s="47">
        <f t="shared" si="4"/>
        <v>-1.432156455986588E-2</v>
      </c>
      <c r="N15" s="47">
        <f t="shared" si="5"/>
        <v>-2.8476827711013439E-2</v>
      </c>
      <c r="O15" s="47">
        <f t="shared" si="6"/>
        <v>2.0831339955730228E-2</v>
      </c>
      <c r="P15" s="47">
        <f t="shared" si="7"/>
        <v>1.3614420620474065E-2</v>
      </c>
      <c r="Q15" s="47">
        <f t="shared" si="8"/>
        <v>8.2946128124593704E-3</v>
      </c>
      <c r="R15" s="57"/>
      <c r="X15" s="31" t="s">
        <v>2</v>
      </c>
      <c r="Y15" s="32">
        <f>O4</f>
        <v>6.9734937113933651E-3</v>
      </c>
      <c r="Z15" s="33">
        <v>0.2</v>
      </c>
      <c r="AA15" s="39">
        <v>1.5502937423889689E-4</v>
      </c>
      <c r="AB15" s="35">
        <v>2.6388553204466874E-5</v>
      </c>
      <c r="AC15" s="35">
        <v>1.0616012802898204E-2</v>
      </c>
      <c r="AD15" s="35">
        <v>1.0420491328917166E-4</v>
      </c>
      <c r="AE15" s="40">
        <v>2.4089389532128029E-5</v>
      </c>
    </row>
    <row r="16" spans="3:33" x14ac:dyDescent="0.3">
      <c r="C16" s="8">
        <v>6</v>
      </c>
      <c r="D16" s="25">
        <v>46094</v>
      </c>
      <c r="E16" s="26">
        <v>1254.8</v>
      </c>
      <c r="F16" s="27">
        <v>817</v>
      </c>
      <c r="G16" s="27">
        <v>383.2</v>
      </c>
      <c r="H16" s="26">
        <v>1249.8</v>
      </c>
      <c r="I16" s="52">
        <v>1392.2</v>
      </c>
      <c r="J16" s="44">
        <v>21391.200000000001</v>
      </c>
      <c r="L16" s="58">
        <v>6</v>
      </c>
      <c r="M16" s="47">
        <f t="shared" si="4"/>
        <v>9.2809931252068358E-3</v>
      </c>
      <c r="N16" s="47">
        <f t="shared" si="5"/>
        <v>1.9094382213786162E-2</v>
      </c>
      <c r="O16" s="47">
        <f t="shared" si="6"/>
        <v>2.2322067402168112E-2</v>
      </c>
      <c r="P16" s="47">
        <f t="shared" si="7"/>
        <v>-1.2009128379760737E-3</v>
      </c>
      <c r="Q16" s="47">
        <f t="shared" si="8"/>
        <v>-1.4376080681805722E-3</v>
      </c>
      <c r="R16" s="57"/>
      <c r="X16" s="31" t="s">
        <v>3</v>
      </c>
      <c r="Y16" s="32">
        <f>P4</f>
        <v>9.4005267482217246E-4</v>
      </c>
      <c r="Z16" s="33">
        <v>0.2</v>
      </c>
      <c r="AA16" s="39">
        <v>2.0698240802506689E-5</v>
      </c>
      <c r="AB16" s="35">
        <v>8.0076129497113672E-5</v>
      </c>
      <c r="AC16" s="35">
        <v>1.0420491328917166E-4</v>
      </c>
      <c r="AD16" s="35">
        <v>2.70000925391038E-4</v>
      </c>
      <c r="AE16" s="40">
        <v>3.3386572907488995E-5</v>
      </c>
    </row>
    <row r="17" spans="3:31" ht="16.2" thickBot="1" x14ac:dyDescent="0.35">
      <c r="C17" s="8">
        <v>7</v>
      </c>
      <c r="D17" s="25">
        <v>46093</v>
      </c>
      <c r="E17" s="26">
        <v>1266.5</v>
      </c>
      <c r="F17" s="27">
        <v>832.75</v>
      </c>
      <c r="G17" s="27">
        <v>391.85</v>
      </c>
      <c r="H17" s="26">
        <v>1248.3</v>
      </c>
      <c r="I17" s="52">
        <v>1390.2</v>
      </c>
      <c r="J17" s="44">
        <v>21897.5</v>
      </c>
      <c r="L17" s="56">
        <v>7</v>
      </c>
      <c r="M17" s="47">
        <f t="shared" si="4"/>
        <v>2.1944576669679843E-2</v>
      </c>
      <c r="N17" s="47">
        <f t="shared" si="5"/>
        <v>1.439971449393186E-3</v>
      </c>
      <c r="O17" s="47">
        <f t="shared" si="6"/>
        <v>-1.4135419119280707E-2</v>
      </c>
      <c r="P17" s="47">
        <f t="shared" si="7"/>
        <v>1.3921707684199747E-2</v>
      </c>
      <c r="Q17" s="47">
        <f t="shared" si="8"/>
        <v>1.329065651561083E-2</v>
      </c>
      <c r="R17" s="57"/>
      <c r="X17" s="31" t="s">
        <v>4</v>
      </c>
      <c r="Y17" s="32">
        <f>Q4</f>
        <v>-2.4435467907665175E-4</v>
      </c>
      <c r="Z17" s="33">
        <v>0.2</v>
      </c>
      <c r="AA17" s="41">
        <v>3.562954599493307E-5</v>
      </c>
      <c r="AB17" s="42">
        <v>8.5259812618013222E-5</v>
      </c>
      <c r="AC17" s="42">
        <v>2.4089389532128029E-5</v>
      </c>
      <c r="AD17" s="42">
        <v>3.3386572907488995E-5</v>
      </c>
      <c r="AE17" s="43">
        <v>1.6327075798198978E-4</v>
      </c>
    </row>
    <row r="18" spans="3:31" x14ac:dyDescent="0.3">
      <c r="C18" s="8">
        <v>8</v>
      </c>
      <c r="D18" s="25">
        <v>46092</v>
      </c>
      <c r="E18" s="26">
        <v>1294.5999999999999</v>
      </c>
      <c r="F18" s="27">
        <v>833.95</v>
      </c>
      <c r="G18" s="27">
        <v>386.35</v>
      </c>
      <c r="H18" s="26">
        <v>1265.8</v>
      </c>
      <c r="I18" s="52">
        <v>1408.8</v>
      </c>
      <c r="J18" s="44">
        <v>22042.3</v>
      </c>
      <c r="L18" s="58">
        <v>8</v>
      </c>
      <c r="M18" s="47">
        <f t="shared" si="4"/>
        <v>1.3274700975574972E-2</v>
      </c>
      <c r="N18" s="47">
        <f t="shared" si="5"/>
        <v>1.8415632704741454E-2</v>
      </c>
      <c r="O18" s="47">
        <f t="shared" si="6"/>
        <v>3.4220727686706712E-2</v>
      </c>
      <c r="P18" s="47">
        <f t="shared" si="7"/>
        <v>8.2609336474401673E-3</v>
      </c>
      <c r="Q18" s="47">
        <f t="shared" si="8"/>
        <v>1.073153478992481E-2</v>
      </c>
      <c r="R18" s="57"/>
      <c r="AA18" s="34"/>
      <c r="AB18" s="34"/>
      <c r="AC18" s="34"/>
      <c r="AD18" s="34"/>
      <c r="AE18" s="34"/>
    </row>
    <row r="19" spans="3:31" x14ac:dyDescent="0.3">
      <c r="C19" s="8">
        <v>9</v>
      </c>
      <c r="D19" s="25">
        <v>46091</v>
      </c>
      <c r="E19" s="26">
        <v>1311.9</v>
      </c>
      <c r="F19" s="27">
        <v>849.45</v>
      </c>
      <c r="G19" s="27">
        <v>399.8</v>
      </c>
      <c r="H19" s="26">
        <v>1276.3</v>
      </c>
      <c r="I19" s="52">
        <v>1424</v>
      </c>
      <c r="J19" s="44">
        <v>22342.95</v>
      </c>
      <c r="L19" s="56">
        <v>9</v>
      </c>
      <c r="M19" s="47">
        <f t="shared" si="4"/>
        <v>-2.5867172074974437E-2</v>
      </c>
      <c r="N19" s="47">
        <f t="shared" si="5"/>
        <v>-1.0354203086672524E-2</v>
      </c>
      <c r="O19" s="47">
        <f t="shared" si="6"/>
        <v>1.8585592588067152E-2</v>
      </c>
      <c r="P19" s="47">
        <f t="shared" si="7"/>
        <v>1.5008641308529212E-2</v>
      </c>
      <c r="Q19" s="47">
        <f t="shared" si="8"/>
        <v>-1.3574869091068874E-2</v>
      </c>
      <c r="R19" s="57"/>
    </row>
    <row r="20" spans="3:31" x14ac:dyDescent="0.3">
      <c r="C20" s="8">
        <v>10</v>
      </c>
      <c r="D20" s="25">
        <v>46090</v>
      </c>
      <c r="E20" s="26">
        <v>1278.4000000000001</v>
      </c>
      <c r="F20" s="27">
        <v>840.7</v>
      </c>
      <c r="G20" s="27">
        <v>407.3</v>
      </c>
      <c r="H20" s="26">
        <v>1295.5999999999999</v>
      </c>
      <c r="I20" s="52">
        <v>1404.8</v>
      </c>
      <c r="J20" s="44">
        <v>22056.55</v>
      </c>
      <c r="L20" s="58">
        <v>10</v>
      </c>
      <c r="M20" s="47">
        <f t="shared" si="4"/>
        <v>2.7009898744862103E-2</v>
      </c>
      <c r="N20" s="47">
        <f t="shared" si="5"/>
        <v>1.9261381811814766E-2</v>
      </c>
      <c r="O20" s="47">
        <f t="shared" si="6"/>
        <v>-9.7453432713835459E-3</v>
      </c>
      <c r="P20" s="47">
        <f t="shared" si="7"/>
        <v>1.4862757314690819E-2</v>
      </c>
      <c r="Q20" s="47">
        <f t="shared" si="8"/>
        <v>-1.1022944622071575E-2</v>
      </c>
      <c r="R20" s="57"/>
    </row>
    <row r="21" spans="3:31" x14ac:dyDescent="0.3">
      <c r="C21" s="8">
        <v>11</v>
      </c>
      <c r="D21" s="25">
        <v>46087</v>
      </c>
      <c r="E21" s="26">
        <v>1313.4</v>
      </c>
      <c r="F21" s="27">
        <v>857.05</v>
      </c>
      <c r="G21" s="27">
        <v>403.35</v>
      </c>
      <c r="H21" s="26">
        <v>1315</v>
      </c>
      <c r="I21" s="52">
        <v>1389.4</v>
      </c>
      <c r="J21" s="44">
        <v>22481.3</v>
      </c>
      <c r="L21" s="56">
        <v>11</v>
      </c>
      <c r="M21" s="47">
        <f t="shared" si="4"/>
        <v>3.3099240163144146E-2</v>
      </c>
      <c r="N21" s="47">
        <f t="shared" si="5"/>
        <v>1.3444022386842523E-2</v>
      </c>
      <c r="O21" s="47">
        <f t="shared" si="6"/>
        <v>2.3885023019735562E-2</v>
      </c>
      <c r="P21" s="47">
        <f t="shared" si="7"/>
        <v>-5.0316489476359945E-3</v>
      </c>
      <c r="Q21" s="47">
        <f t="shared" si="8"/>
        <v>-3.2477986222841149E-2</v>
      </c>
      <c r="R21" s="57"/>
      <c r="Y21" s="2" t="s">
        <v>14</v>
      </c>
      <c r="Z21" s="3">
        <f>SUMPRODUCT(Y13:Y17,Z13:Z17)</f>
        <v>2.2658526141373044E-3</v>
      </c>
    </row>
    <row r="22" spans="3:31" x14ac:dyDescent="0.3">
      <c r="C22" s="8">
        <v>12</v>
      </c>
      <c r="D22" s="25">
        <v>46086</v>
      </c>
      <c r="E22" s="26">
        <v>1357.6</v>
      </c>
      <c r="F22" s="27">
        <v>868.65</v>
      </c>
      <c r="G22" s="27">
        <v>413.1</v>
      </c>
      <c r="H22" s="26">
        <v>1308.4000000000001</v>
      </c>
      <c r="I22" s="52">
        <v>1345</v>
      </c>
      <c r="J22" s="44">
        <v>22697.8</v>
      </c>
      <c r="L22" s="58">
        <v>12</v>
      </c>
      <c r="M22" s="47">
        <f t="shared" si="4"/>
        <v>5.728991064163547E-3</v>
      </c>
      <c r="N22" s="47">
        <f t="shared" si="5"/>
        <v>1.042153270863312E-2</v>
      </c>
      <c r="O22" s="47">
        <f t="shared" si="6"/>
        <v>5.0706374489599866E-3</v>
      </c>
      <c r="P22" s="47">
        <f t="shared" si="7"/>
        <v>-1.9891369116958515E-3</v>
      </c>
      <c r="Q22" s="47">
        <f t="shared" si="8"/>
        <v>9.6190160827020529E-3</v>
      </c>
      <c r="R22" s="57"/>
      <c r="Y22" s="2" t="s">
        <v>15</v>
      </c>
      <c r="Z22" s="12">
        <f t="array" ref="Z22">MMULT(TRANSPOSE(Z13:Z17),MMULT(AA13:AE17,Z13:Z17))</f>
        <v>5.810940011668703E-4</v>
      </c>
    </row>
    <row r="23" spans="3:31" x14ac:dyDescent="0.3">
      <c r="C23" s="8">
        <v>13</v>
      </c>
      <c r="D23" s="25">
        <v>46085</v>
      </c>
      <c r="E23" s="26">
        <v>1365.4</v>
      </c>
      <c r="F23" s="27">
        <v>877.75</v>
      </c>
      <c r="G23" s="27">
        <v>415.2</v>
      </c>
      <c r="H23" s="26">
        <v>1305.8</v>
      </c>
      <c r="I23" s="52">
        <v>1358</v>
      </c>
      <c r="J23" s="44">
        <v>22409.8</v>
      </c>
      <c r="L23" s="56">
        <v>13</v>
      </c>
      <c r="M23" s="47">
        <f t="shared" si="4"/>
        <v>6.2787677981145677E-3</v>
      </c>
      <c r="N23" s="47">
        <f t="shared" si="5"/>
        <v>-1.0421532708633175E-2</v>
      </c>
      <c r="O23" s="47">
        <f t="shared" si="6"/>
        <v>2.2269452593693694E-2</v>
      </c>
      <c r="P23" s="47">
        <f t="shared" si="7"/>
        <v>1.2245524260960877E-3</v>
      </c>
      <c r="Q23" s="47">
        <f t="shared" si="8"/>
        <v>2.6092544617199391E-2</v>
      </c>
      <c r="R23" s="57"/>
      <c r="Y23" s="2" t="s">
        <v>16</v>
      </c>
      <c r="Z23" s="3">
        <f>SQRT(Z22)</f>
        <v>2.410589142029123E-2</v>
      </c>
    </row>
    <row r="24" spans="3:31" x14ac:dyDescent="0.3">
      <c r="C24" s="8">
        <v>14</v>
      </c>
      <c r="D24" s="25">
        <v>46083</v>
      </c>
      <c r="E24" s="26">
        <v>1374</v>
      </c>
      <c r="F24" s="27">
        <v>868.65</v>
      </c>
      <c r="G24" s="27">
        <v>424.55</v>
      </c>
      <c r="H24" s="26">
        <v>1307.4000000000001</v>
      </c>
      <c r="I24" s="52">
        <v>1393.9</v>
      </c>
      <c r="J24" s="44">
        <v>22835.95</v>
      </c>
      <c r="L24" s="58">
        <v>14</v>
      </c>
      <c r="M24" s="47">
        <f t="shared" si="4"/>
        <v>3.5598860654008709E-3</v>
      </c>
      <c r="N24" s="47">
        <f t="shared" si="5"/>
        <v>1.2299574406801303E-2</v>
      </c>
      <c r="O24" s="47">
        <f t="shared" si="6"/>
        <v>9.417304992628548E-4</v>
      </c>
      <c r="P24" s="47">
        <f t="shared" si="7"/>
        <v>-1.4251290767895355E-2</v>
      </c>
      <c r="Q24" s="47">
        <f t="shared" si="8"/>
        <v>9.2120478639865083E-3</v>
      </c>
      <c r="R24" s="57"/>
      <c r="Y24" s="2" t="s">
        <v>17</v>
      </c>
      <c r="Z24" s="48">
        <f t="array" ref="Z24">Z23*SQRT(252)</f>
        <v>0.38266916297769715</v>
      </c>
    </row>
    <row r="25" spans="3:31" x14ac:dyDescent="0.3">
      <c r="C25" s="8">
        <v>15</v>
      </c>
      <c r="D25" s="25">
        <v>46080</v>
      </c>
      <c r="E25" s="26">
        <v>1378.9</v>
      </c>
      <c r="F25" s="27">
        <v>879.4</v>
      </c>
      <c r="G25" s="27">
        <v>424.95</v>
      </c>
      <c r="H25" s="26">
        <v>1288.9000000000001</v>
      </c>
      <c r="I25" s="52">
        <v>1406.8</v>
      </c>
      <c r="J25" s="44">
        <v>23166.85</v>
      </c>
      <c r="L25" s="56">
        <v>15</v>
      </c>
      <c r="M25" s="47">
        <f t="shared" si="4"/>
        <v>1.8680046009910217E-2</v>
      </c>
      <c r="N25" s="47">
        <f t="shared" si="5"/>
        <v>9.4503150764875272E-3</v>
      </c>
      <c r="O25" s="47">
        <f t="shared" si="6"/>
        <v>6.4505002882277269E-3</v>
      </c>
      <c r="P25" s="47">
        <f t="shared" si="7"/>
        <v>8.6520431573888952E-3</v>
      </c>
      <c r="Q25" s="47">
        <f t="shared" si="8"/>
        <v>-5.9173879578129146E-3</v>
      </c>
      <c r="R25" s="57"/>
    </row>
    <row r="26" spans="3:31" x14ac:dyDescent="0.3">
      <c r="C26" s="8">
        <v>16</v>
      </c>
      <c r="D26" s="25">
        <v>46079</v>
      </c>
      <c r="E26" s="26">
        <v>1404.9</v>
      </c>
      <c r="F26" s="27">
        <v>887.75</v>
      </c>
      <c r="G26" s="27">
        <v>427.7</v>
      </c>
      <c r="H26" s="26">
        <v>1300.0999999999999</v>
      </c>
      <c r="I26" s="52">
        <v>1398.5</v>
      </c>
      <c r="J26" s="44">
        <v>23448.5</v>
      </c>
      <c r="L26" s="58">
        <v>16</v>
      </c>
      <c r="M26" s="47">
        <f t="shared" si="4"/>
        <v>-3.1368101574426009E-3</v>
      </c>
      <c r="N26" s="47">
        <f t="shared" si="5"/>
        <v>1.2147824812862418E-2</v>
      </c>
      <c r="O26" s="47">
        <f t="shared" si="6"/>
        <v>6.9897768272019741E-3</v>
      </c>
      <c r="P26" s="47">
        <f t="shared" si="7"/>
        <v>-8.4968841190639442E-3</v>
      </c>
      <c r="Q26" s="47">
        <f t="shared" si="8"/>
        <v>2.1434697480220064E-2</v>
      </c>
      <c r="R26" s="57"/>
    </row>
    <row r="27" spans="3:31" x14ac:dyDescent="0.3">
      <c r="C27" s="8">
        <v>17</v>
      </c>
      <c r="D27" s="25">
        <v>46078</v>
      </c>
      <c r="E27" s="26">
        <v>1400.5</v>
      </c>
      <c r="F27" s="27">
        <v>898.6</v>
      </c>
      <c r="G27" s="27">
        <v>430.7</v>
      </c>
      <c r="H27" s="26">
        <v>1289.0999999999999</v>
      </c>
      <c r="I27" s="52">
        <v>1428.8</v>
      </c>
      <c r="J27" s="44">
        <v>23403.8</v>
      </c>
      <c r="L27" s="56">
        <v>17</v>
      </c>
      <c r="M27" s="47">
        <f t="shared" si="4"/>
        <v>-1.1273590838163722E-2</v>
      </c>
      <c r="N27" s="47">
        <f t="shared" si="5"/>
        <v>9.9657562696271323E-3</v>
      </c>
      <c r="O27" s="47">
        <f t="shared" si="6"/>
        <v>-2.194794984170248E-2</v>
      </c>
      <c r="P27" s="47">
        <f t="shared" si="7"/>
        <v>7.7543428203186518E-4</v>
      </c>
      <c r="Q27" s="47">
        <f t="shared" si="8"/>
        <v>-5.6006722270487356E-4</v>
      </c>
      <c r="R27" s="57"/>
    </row>
    <row r="28" spans="3:31" x14ac:dyDescent="0.3">
      <c r="C28" s="8">
        <v>18</v>
      </c>
      <c r="D28" s="25">
        <v>46077</v>
      </c>
      <c r="E28" s="26">
        <v>1384.8</v>
      </c>
      <c r="F28" s="27">
        <v>907.6</v>
      </c>
      <c r="G28" s="27">
        <v>421.35</v>
      </c>
      <c r="H28" s="26">
        <v>1290.0999999999999</v>
      </c>
      <c r="I28" s="52">
        <v>1428</v>
      </c>
      <c r="J28" s="44">
        <v>23304.6</v>
      </c>
      <c r="L28" s="58">
        <v>18</v>
      </c>
      <c r="M28" s="47">
        <f t="shared" si="4"/>
        <v>1.0487848449796954E-2</v>
      </c>
      <c r="N28" s="47">
        <f t="shared" si="5"/>
        <v>3.190146261975882E-3</v>
      </c>
      <c r="O28" s="47">
        <f t="shared" si="6"/>
        <v>-1.1817505477548677E-2</v>
      </c>
      <c r="P28" s="47">
        <f t="shared" si="7"/>
        <v>-1.1381476149224754E-2</v>
      </c>
      <c r="Q28" s="47">
        <f t="shared" si="8"/>
        <v>-6.0406168086471331E-3</v>
      </c>
      <c r="R28" s="57"/>
    </row>
    <row r="29" spans="3:31" x14ac:dyDescent="0.3">
      <c r="C29" s="8">
        <v>19</v>
      </c>
      <c r="D29" s="25">
        <v>46076</v>
      </c>
      <c r="E29" s="26">
        <v>1399.4</v>
      </c>
      <c r="F29" s="27">
        <v>910.5</v>
      </c>
      <c r="G29" s="27">
        <v>416.4</v>
      </c>
      <c r="H29" s="26">
        <v>1275.5</v>
      </c>
      <c r="I29" s="52">
        <v>1419.4</v>
      </c>
      <c r="J29" s="44">
        <v>23484.95</v>
      </c>
      <c r="L29" s="56">
        <v>19</v>
      </c>
      <c r="M29" s="47">
        <f t="shared" si="4"/>
        <v>-3.5076452442527567E-3</v>
      </c>
      <c r="N29" s="47">
        <f t="shared" si="5"/>
        <v>1.428517831267774E-2</v>
      </c>
      <c r="O29" s="47">
        <f t="shared" si="6"/>
        <v>2.3614268447244794E-2</v>
      </c>
      <c r="P29" s="47">
        <f t="shared" si="7"/>
        <v>3.9959215534227828E-2</v>
      </c>
      <c r="Q29" s="47">
        <f t="shared" si="8"/>
        <v>-6.9992155367154018E-3</v>
      </c>
      <c r="R29" s="57"/>
    </row>
    <row r="30" spans="3:31" x14ac:dyDescent="0.3">
      <c r="C30" s="8">
        <v>20</v>
      </c>
      <c r="D30" s="25">
        <v>46073</v>
      </c>
      <c r="E30" s="26">
        <v>1394.5</v>
      </c>
      <c r="F30" s="27">
        <v>923.6</v>
      </c>
      <c r="G30" s="27">
        <v>426.35</v>
      </c>
      <c r="H30" s="26">
        <v>1327.5</v>
      </c>
      <c r="I30" s="52">
        <v>1409.5</v>
      </c>
      <c r="J30" s="44">
        <v>23395</v>
      </c>
      <c r="L30" s="58">
        <v>20</v>
      </c>
      <c r="M30" s="47">
        <f t="shared" si="4"/>
        <v>-4.0958631614579381E-3</v>
      </c>
      <c r="N30" s="47">
        <f t="shared" si="5"/>
        <v>-1.2803574617499099E-2</v>
      </c>
      <c r="O30" s="47">
        <f t="shared" si="6"/>
        <v>-4.4663920040818568E-3</v>
      </c>
      <c r="P30" s="47">
        <f t="shared" si="7"/>
        <v>1.9174683790459526E-2</v>
      </c>
      <c r="Q30" s="47">
        <f t="shared" si="8"/>
        <v>2.2310452534889728E-2</v>
      </c>
      <c r="R30" s="57"/>
    </row>
    <row r="31" spans="3:31" x14ac:dyDescent="0.3">
      <c r="C31" s="8">
        <v>21</v>
      </c>
      <c r="D31" s="25">
        <v>46072</v>
      </c>
      <c r="E31" s="26">
        <v>1388.8</v>
      </c>
      <c r="F31" s="27">
        <v>911.85</v>
      </c>
      <c r="G31" s="27">
        <v>424.45</v>
      </c>
      <c r="H31" s="26">
        <v>1353.2</v>
      </c>
      <c r="I31" s="52">
        <v>1441.3</v>
      </c>
      <c r="J31" s="44">
        <v>23297.45</v>
      </c>
      <c r="L31" s="56">
        <v>21</v>
      </c>
      <c r="M31" s="47">
        <f t="shared" si="4"/>
        <v>1.3872228178947153E-2</v>
      </c>
      <c r="N31" s="47">
        <f t="shared" si="5"/>
        <v>4.104085215570482E-3</v>
      </c>
      <c r="O31" s="47">
        <f t="shared" si="6"/>
        <v>2.7057248434578293E-3</v>
      </c>
      <c r="P31" s="47">
        <f t="shared" si="7"/>
        <v>1.2703478836287118E-2</v>
      </c>
      <c r="Q31" s="47">
        <f t="shared" si="8"/>
        <v>-1.2778164999204681E-2</v>
      </c>
      <c r="R31" s="57"/>
      <c r="Y31" s="1"/>
    </row>
    <row r="32" spans="3:31" x14ac:dyDescent="0.3">
      <c r="C32" s="8">
        <v>22</v>
      </c>
      <c r="D32" s="25">
        <v>46071</v>
      </c>
      <c r="E32" s="26">
        <v>1408.2</v>
      </c>
      <c r="F32" s="27">
        <v>915.6</v>
      </c>
      <c r="G32" s="27">
        <v>425.6</v>
      </c>
      <c r="H32" s="26">
        <v>1370.5</v>
      </c>
      <c r="I32" s="52">
        <v>1423</v>
      </c>
      <c r="J32" s="44">
        <v>23645.8</v>
      </c>
      <c r="L32" s="58">
        <v>22</v>
      </c>
      <c r="M32" s="47">
        <f t="shared" si="4"/>
        <v>-4.9721207118741742E-4</v>
      </c>
      <c r="N32" s="47">
        <f t="shared" si="5"/>
        <v>9.8897725051812317E-3</v>
      </c>
      <c r="O32" s="47">
        <f t="shared" si="6"/>
        <v>-1.16988040306121E-2</v>
      </c>
      <c r="P32" s="47">
        <f t="shared" si="7"/>
        <v>2.3321925883189052E-3</v>
      </c>
      <c r="Q32" s="47">
        <f t="shared" si="8"/>
        <v>9.8598749903487208E-3</v>
      </c>
      <c r="R32" s="57"/>
      <c r="Y32" s="70"/>
    </row>
    <row r="33" spans="3:26" x14ac:dyDescent="0.3">
      <c r="C33" s="8">
        <v>23</v>
      </c>
      <c r="D33" s="25">
        <v>46070</v>
      </c>
      <c r="E33" s="26">
        <v>1407.5</v>
      </c>
      <c r="F33" s="27">
        <v>924.7</v>
      </c>
      <c r="G33" s="27">
        <v>420.65</v>
      </c>
      <c r="H33" s="26">
        <v>1373.7</v>
      </c>
      <c r="I33" s="52">
        <v>1437.1</v>
      </c>
      <c r="J33" s="44">
        <v>23540.05</v>
      </c>
      <c r="L33" s="56">
        <v>23</v>
      </c>
      <c r="M33" s="47">
        <f t="shared" si="4"/>
        <v>2.9087317872695676E-3</v>
      </c>
      <c r="N33" s="47">
        <f t="shared" si="5"/>
        <v>1.0808474895725754E-3</v>
      </c>
      <c r="O33" s="47">
        <f t="shared" si="6"/>
        <v>1.3224894600903947E-2</v>
      </c>
      <c r="P33" s="47">
        <f t="shared" si="7"/>
        <v>1.2658854708913836E-2</v>
      </c>
      <c r="Q33" s="47">
        <f t="shared" si="8"/>
        <v>-1.2252052307859819E-2</v>
      </c>
      <c r="R33" s="57"/>
      <c r="Y33" s="70"/>
      <c r="Z33" s="71"/>
    </row>
    <row r="34" spans="3:26" x14ac:dyDescent="0.3">
      <c r="C34" s="8">
        <v>24</v>
      </c>
      <c r="D34" s="25">
        <v>46069</v>
      </c>
      <c r="E34" s="26">
        <v>1411.6</v>
      </c>
      <c r="F34" s="27">
        <v>925.7</v>
      </c>
      <c r="G34" s="27">
        <v>426.25</v>
      </c>
      <c r="H34" s="26">
        <v>1391.2</v>
      </c>
      <c r="I34" s="52">
        <v>1419.6</v>
      </c>
      <c r="J34" s="44">
        <v>23472.45</v>
      </c>
      <c r="L34" s="58">
        <v>24</v>
      </c>
      <c r="M34" s="47">
        <f t="shared" si="4"/>
        <v>2.1229928007744469E-3</v>
      </c>
      <c r="N34" s="47">
        <f t="shared" si="5"/>
        <v>1.0802052400455398E-4</v>
      </c>
      <c r="O34" s="47">
        <f t="shared" si="6"/>
        <v>7.7121204863390335E-3</v>
      </c>
      <c r="P34" s="47">
        <f t="shared" si="7"/>
        <v>-1.8572791559842549E-2</v>
      </c>
      <c r="Q34" s="47">
        <f t="shared" si="8"/>
        <v>2.0429506054335279E-2</v>
      </c>
      <c r="R34" s="57"/>
      <c r="Y34" s="70"/>
      <c r="Z34" s="71"/>
    </row>
    <row r="35" spans="3:26" x14ac:dyDescent="0.3">
      <c r="C35" s="8">
        <v>25</v>
      </c>
      <c r="D35" s="25">
        <v>46066</v>
      </c>
      <c r="E35" s="26">
        <v>1414.6</v>
      </c>
      <c r="F35" s="27">
        <v>925.8</v>
      </c>
      <c r="G35" s="27">
        <v>429.55</v>
      </c>
      <c r="H35" s="26">
        <v>1365.6</v>
      </c>
      <c r="I35" s="52">
        <v>1448.9</v>
      </c>
      <c r="J35" s="44">
        <v>23313.15</v>
      </c>
      <c r="L35" s="56">
        <v>25</v>
      </c>
      <c r="M35" s="47">
        <f t="shared" si="4"/>
        <v>1.0827638652063393E-2</v>
      </c>
      <c r="N35" s="47">
        <f t="shared" si="5"/>
        <v>-2.3939493792804911E-2</v>
      </c>
      <c r="O35" s="47">
        <f t="shared" si="6"/>
        <v>-5.8217385355062337E-4</v>
      </c>
      <c r="P35" s="47">
        <f t="shared" si="7"/>
        <v>2.5596971594795685E-3</v>
      </c>
      <c r="Q35" s="47">
        <f t="shared" si="8"/>
        <v>1.3573007933140159E-2</v>
      </c>
      <c r="R35" s="57"/>
      <c r="Y35" s="70"/>
      <c r="Z35" s="71"/>
    </row>
    <row r="36" spans="3:26" x14ac:dyDescent="0.3">
      <c r="C36" s="8">
        <v>26</v>
      </c>
      <c r="D36" s="25">
        <v>46065</v>
      </c>
      <c r="E36" s="26">
        <v>1430</v>
      </c>
      <c r="F36" s="27">
        <v>903.9</v>
      </c>
      <c r="G36" s="27">
        <v>429.3</v>
      </c>
      <c r="H36" s="26">
        <v>1369.1</v>
      </c>
      <c r="I36" s="52">
        <v>1468.7</v>
      </c>
      <c r="J36" s="44">
        <v>23651.55</v>
      </c>
      <c r="L36" s="58">
        <v>26</v>
      </c>
      <c r="M36" s="47">
        <f t="shared" si="4"/>
        <v>-1.6854529657182878E-2</v>
      </c>
      <c r="N36" s="47">
        <f t="shared" si="5"/>
        <v>1.8306896578775843E-2</v>
      </c>
      <c r="O36" s="47">
        <f t="shared" si="6"/>
        <v>-1.1653654739227286E-3</v>
      </c>
      <c r="P36" s="47">
        <f t="shared" si="7"/>
        <v>1.2268311110138288E-2</v>
      </c>
      <c r="Q36" s="47">
        <f t="shared" si="8"/>
        <v>-6.9691454520406449E-3</v>
      </c>
      <c r="R36" s="57"/>
      <c r="Y36" s="70"/>
      <c r="Z36" s="71"/>
    </row>
    <row r="37" spans="3:26" x14ac:dyDescent="0.3">
      <c r="C37" s="8">
        <v>27</v>
      </c>
      <c r="D37" s="25">
        <v>46064</v>
      </c>
      <c r="E37" s="26">
        <v>1406.1</v>
      </c>
      <c r="F37" s="27">
        <v>920.6</v>
      </c>
      <c r="G37" s="27">
        <v>428.8</v>
      </c>
      <c r="H37" s="26">
        <v>1386</v>
      </c>
      <c r="I37" s="52">
        <v>1458.5</v>
      </c>
      <c r="J37" s="44">
        <v>23783.05</v>
      </c>
      <c r="L37" s="56">
        <v>27</v>
      </c>
      <c r="M37" s="47">
        <f t="shared" si="4"/>
        <v>2.8443433314139492E-4</v>
      </c>
      <c r="N37" s="47">
        <f t="shared" si="5"/>
        <v>7.0358032297956601E-3</v>
      </c>
      <c r="O37" s="47">
        <f t="shared" si="6"/>
        <v>-1.5156255583086529E-2</v>
      </c>
      <c r="P37" s="47">
        <f t="shared" si="7"/>
        <v>6.0132182448692492E-2</v>
      </c>
      <c r="Q37" s="47">
        <f t="shared" si="8"/>
        <v>2.1232157560206882E-3</v>
      </c>
      <c r="R37" s="57"/>
    </row>
    <row r="38" spans="3:26" x14ac:dyDescent="0.3">
      <c r="C38" s="8">
        <v>28</v>
      </c>
      <c r="D38" s="25">
        <v>46063</v>
      </c>
      <c r="E38" s="26">
        <v>1406.5</v>
      </c>
      <c r="F38" s="27">
        <v>927.1</v>
      </c>
      <c r="G38" s="27">
        <v>422.35</v>
      </c>
      <c r="H38" s="26">
        <v>1471.9</v>
      </c>
      <c r="I38" s="52">
        <v>1461.6</v>
      </c>
      <c r="J38" s="44">
        <v>23753.75</v>
      </c>
      <c r="L38" s="58">
        <v>28</v>
      </c>
      <c r="M38" s="47">
        <f t="shared" si="4"/>
        <v>-7.2784679817625405E-3</v>
      </c>
      <c r="N38" s="47">
        <f t="shared" si="5"/>
        <v>5.7004725486653751E-3</v>
      </c>
      <c r="O38" s="47">
        <f t="shared" si="6"/>
        <v>-3.2730631962042553E-2</v>
      </c>
      <c r="P38" s="47">
        <f t="shared" si="7"/>
        <v>1.7443281616725526E-2</v>
      </c>
      <c r="Q38" s="47">
        <f t="shared" si="8"/>
        <v>-7.4165976550495949E-3</v>
      </c>
      <c r="R38" s="57"/>
    </row>
    <row r="39" spans="3:26" x14ac:dyDescent="0.3">
      <c r="C39" s="8">
        <v>29</v>
      </c>
      <c r="D39" s="25">
        <v>46062</v>
      </c>
      <c r="E39" s="26">
        <v>1396.3</v>
      </c>
      <c r="F39" s="27">
        <v>932.4</v>
      </c>
      <c r="G39" s="27">
        <v>408.75</v>
      </c>
      <c r="H39" s="26">
        <v>1497.8</v>
      </c>
      <c r="I39" s="52">
        <v>1450.8</v>
      </c>
      <c r="J39" s="44">
        <v>23683.4</v>
      </c>
      <c r="L39" s="56">
        <v>29</v>
      </c>
      <c r="M39" s="47">
        <f t="shared" si="4"/>
        <v>6.9940336486211006E-3</v>
      </c>
      <c r="N39" s="47">
        <f t="shared" si="5"/>
        <v>5.1881484544193624E-3</v>
      </c>
      <c r="O39" s="47">
        <f t="shared" si="6"/>
        <v>8.768781067901351E-3</v>
      </c>
      <c r="P39" s="47">
        <f t="shared" si="7"/>
        <v>-4.0066778499276773E-4</v>
      </c>
      <c r="Q39" s="47">
        <f t="shared" si="8"/>
        <v>-5.1136867705743249E-3</v>
      </c>
      <c r="R39" s="57"/>
    </row>
    <row r="40" spans="3:26" x14ac:dyDescent="0.3">
      <c r="C40" s="8">
        <v>30</v>
      </c>
      <c r="D40" s="25">
        <v>46059</v>
      </c>
      <c r="E40" s="26">
        <v>1406.1</v>
      </c>
      <c r="F40" s="27">
        <v>937.25</v>
      </c>
      <c r="G40" s="27">
        <v>412.35</v>
      </c>
      <c r="H40" s="26">
        <v>1497.2</v>
      </c>
      <c r="I40" s="52">
        <v>1443.4</v>
      </c>
      <c r="J40" s="44">
        <v>23434</v>
      </c>
      <c r="L40" s="58">
        <v>30</v>
      </c>
      <c r="M40" s="47">
        <f t="shared" si="4"/>
        <v>-6.8508082115385704E-3</v>
      </c>
      <c r="N40" s="47">
        <f t="shared" si="5"/>
        <v>4.0993482487207264E-3</v>
      </c>
      <c r="O40" s="47">
        <f t="shared" si="6"/>
        <v>8.3318721445480633E-3</v>
      </c>
      <c r="P40" s="47">
        <f t="shared" si="7"/>
        <v>6.5905773953567511E-3</v>
      </c>
      <c r="Q40" s="47">
        <f t="shared" si="8"/>
        <v>9.2408077752252436E-3</v>
      </c>
      <c r="R40" s="57"/>
    </row>
    <row r="41" spans="3:26" x14ac:dyDescent="0.3">
      <c r="C41" s="8">
        <v>31</v>
      </c>
      <c r="D41" s="25">
        <v>46058</v>
      </c>
      <c r="E41" s="26">
        <v>1396.5</v>
      </c>
      <c r="F41" s="27">
        <v>941.1</v>
      </c>
      <c r="G41" s="27">
        <v>415.8</v>
      </c>
      <c r="H41" s="26">
        <v>1507.1</v>
      </c>
      <c r="I41" s="52">
        <v>1456.8</v>
      </c>
      <c r="J41" s="44">
        <v>23411.7</v>
      </c>
      <c r="L41" s="56">
        <v>31</v>
      </c>
      <c r="M41" s="47">
        <f t="shared" si="4"/>
        <v>8.4852018956661154E-3</v>
      </c>
      <c r="N41" s="47">
        <f t="shared" si="5"/>
        <v>9.0967413841647245E-3</v>
      </c>
      <c r="O41" s="47">
        <f t="shared" si="6"/>
        <v>-1.844712504816819E-2</v>
      </c>
      <c r="P41" s="47">
        <f t="shared" si="7"/>
        <v>8.6546307063094779E-3</v>
      </c>
      <c r="Q41" s="47">
        <f t="shared" si="8"/>
        <v>-1.3615055333196987E-2</v>
      </c>
      <c r="R41" s="57"/>
    </row>
    <row r="42" spans="3:26" x14ac:dyDescent="0.3">
      <c r="C42" s="8">
        <v>32</v>
      </c>
      <c r="D42" s="25">
        <v>46057</v>
      </c>
      <c r="E42" s="26">
        <v>1408.4</v>
      </c>
      <c r="F42" s="27">
        <v>949.7</v>
      </c>
      <c r="G42" s="27">
        <v>408.2</v>
      </c>
      <c r="H42" s="26">
        <v>1520.2</v>
      </c>
      <c r="I42" s="52">
        <v>1437.1</v>
      </c>
      <c r="J42" s="44">
        <v>23534.95</v>
      </c>
      <c r="L42" s="58">
        <v>32</v>
      </c>
      <c r="M42" s="47">
        <f t="shared" si="4"/>
        <v>-1.3366411788361199E-2</v>
      </c>
      <c r="N42" s="47">
        <f t="shared" si="5"/>
        <v>3.5736846946732826E-3</v>
      </c>
      <c r="O42" s="47">
        <f t="shared" si="6"/>
        <v>-2.330002893589912E-3</v>
      </c>
      <c r="P42" s="47">
        <f t="shared" si="7"/>
        <v>1.0209512764503081E-2</v>
      </c>
      <c r="Q42" s="47">
        <f t="shared" si="8"/>
        <v>-3.3035718569073433E-2</v>
      </c>
      <c r="R42" s="57"/>
    </row>
    <row r="43" spans="3:26" x14ac:dyDescent="0.3">
      <c r="C43" s="8">
        <v>33</v>
      </c>
      <c r="D43" s="25">
        <v>46056</v>
      </c>
      <c r="E43" s="26">
        <v>1389.7</v>
      </c>
      <c r="F43" s="27">
        <v>953.1</v>
      </c>
      <c r="G43" s="27">
        <v>407.25</v>
      </c>
      <c r="H43" s="26">
        <v>1535.8</v>
      </c>
      <c r="I43" s="52">
        <v>1390.4</v>
      </c>
      <c r="J43" s="44">
        <v>23446.3</v>
      </c>
      <c r="L43" s="56">
        <v>33</v>
      </c>
      <c r="M43" s="47">
        <f t="shared" si="4"/>
        <v>-2.6911377908165772E-2</v>
      </c>
      <c r="N43" s="47">
        <f t="shared" si="5"/>
        <v>-4.6272035447489854E-3</v>
      </c>
      <c r="O43" s="47">
        <f t="shared" si="6"/>
        <v>1.8399269220072951E-3</v>
      </c>
      <c r="P43" s="47">
        <f t="shared" si="7"/>
        <v>7.5353638048761856E-2</v>
      </c>
      <c r="Q43" s="47">
        <f t="shared" si="8"/>
        <v>-3.1711578100763714E-2</v>
      </c>
      <c r="R43" s="57"/>
    </row>
    <row r="44" spans="3:26" x14ac:dyDescent="0.3">
      <c r="C44" s="8">
        <v>34</v>
      </c>
      <c r="D44" s="25">
        <v>46055</v>
      </c>
      <c r="E44" s="26">
        <v>1352.8</v>
      </c>
      <c r="F44" s="27">
        <v>948.7</v>
      </c>
      <c r="G44" s="27">
        <v>408</v>
      </c>
      <c r="H44" s="26">
        <v>1656</v>
      </c>
      <c r="I44" s="52">
        <v>1347</v>
      </c>
      <c r="J44" s="44">
        <v>22837</v>
      </c>
      <c r="L44" s="58">
        <v>34</v>
      </c>
      <c r="M44" s="47">
        <f t="shared" si="4"/>
        <v>-1.3844657308955424E-2</v>
      </c>
      <c r="N44" s="47">
        <f t="shared" si="5"/>
        <v>-2.1953140797484023E-2</v>
      </c>
      <c r="O44" s="47">
        <f t="shared" si="6"/>
        <v>1.0726577738643122E-2</v>
      </c>
      <c r="P44" s="47">
        <f t="shared" si="7"/>
        <v>-1.6193207068663538E-2</v>
      </c>
      <c r="Q44" s="47">
        <f t="shared" si="8"/>
        <v>3.5301215094772333E-2</v>
      </c>
      <c r="R44" s="57"/>
    </row>
    <row r="45" spans="3:26" x14ac:dyDescent="0.3">
      <c r="C45" s="8">
        <v>35</v>
      </c>
      <c r="D45" s="25">
        <v>46054</v>
      </c>
      <c r="E45" s="26">
        <v>1334.2</v>
      </c>
      <c r="F45" s="27">
        <v>928.1</v>
      </c>
      <c r="G45" s="27">
        <v>412.4</v>
      </c>
      <c r="H45" s="26">
        <v>1629.4</v>
      </c>
      <c r="I45" s="52">
        <v>1395.4</v>
      </c>
      <c r="J45" s="44">
        <v>22611.3</v>
      </c>
      <c r="L45" s="56">
        <v>35</v>
      </c>
      <c r="M45" s="47">
        <f t="shared" si="4"/>
        <v>1.546959303838628E-2</v>
      </c>
      <c r="N45" s="47">
        <f t="shared" si="5"/>
        <v>-6.4858080562515789E-3</v>
      </c>
      <c r="O45" s="47">
        <f t="shared" si="6"/>
        <v>0</v>
      </c>
      <c r="P45" s="47">
        <f t="shared" si="7"/>
        <v>1.5286999485125376E-2</v>
      </c>
      <c r="Q45" s="47">
        <f t="shared" si="8"/>
        <v>-3.1581995816933302E-3</v>
      </c>
      <c r="R45" s="57"/>
    </row>
    <row r="46" spans="3:26" x14ac:dyDescent="0.3">
      <c r="C46" s="8">
        <v>36</v>
      </c>
      <c r="D46" s="25">
        <v>46052</v>
      </c>
      <c r="E46" s="26">
        <v>1355</v>
      </c>
      <c r="F46" s="27">
        <v>922.1</v>
      </c>
      <c r="G46" s="27">
        <v>412.4</v>
      </c>
      <c r="H46" s="26">
        <v>1654.5</v>
      </c>
      <c r="I46" s="52">
        <v>1391</v>
      </c>
      <c r="J46" s="44">
        <v>23079.5</v>
      </c>
      <c r="L46" s="58">
        <v>36</v>
      </c>
      <c r="M46" s="47">
        <f t="shared" si="4"/>
        <v>2.0887343749212271E-2</v>
      </c>
      <c r="N46" s="47">
        <f t="shared" si="5"/>
        <v>7.7241316322658651E-3</v>
      </c>
      <c r="O46" s="47">
        <f t="shared" si="6"/>
        <v>-9.012361572573159E-3</v>
      </c>
      <c r="P46" s="47">
        <f t="shared" si="7"/>
        <v>-8.1930362715759795E-3</v>
      </c>
      <c r="Q46" s="47">
        <f t="shared" si="8"/>
        <v>4.0893983882827369E-3</v>
      </c>
      <c r="R46" s="57"/>
    </row>
    <row r="47" spans="3:26" x14ac:dyDescent="0.3">
      <c r="C47" s="8">
        <v>37</v>
      </c>
      <c r="D47" s="25">
        <v>46051</v>
      </c>
      <c r="E47" s="26">
        <v>1383.6</v>
      </c>
      <c r="F47" s="27">
        <v>929.25</v>
      </c>
      <c r="G47" s="27">
        <v>408.7</v>
      </c>
      <c r="H47" s="26">
        <v>1641</v>
      </c>
      <c r="I47" s="52">
        <v>1396.7</v>
      </c>
      <c r="J47" s="44">
        <v>23134.799999999999</v>
      </c>
      <c r="L47" s="56">
        <v>37</v>
      </c>
      <c r="M47" s="47">
        <f t="shared" si="4"/>
        <v>-1.1558301175508191E-2</v>
      </c>
      <c r="N47" s="47">
        <f t="shared" si="5"/>
        <v>6.7033365367828567E-3</v>
      </c>
      <c r="O47" s="47">
        <f t="shared" si="6"/>
        <v>3.3917863425851021E-2</v>
      </c>
      <c r="P47" s="47">
        <f t="shared" si="7"/>
        <v>1.12105400699383E-2</v>
      </c>
      <c r="Q47" s="47">
        <f t="shared" si="8"/>
        <v>-1.1666558941516565E-2</v>
      </c>
      <c r="R47" s="57"/>
    </row>
    <row r="48" spans="3:26" x14ac:dyDescent="0.3">
      <c r="C48" s="8">
        <v>38</v>
      </c>
      <c r="D48" s="25">
        <v>46050</v>
      </c>
      <c r="E48" s="26">
        <v>1367.7</v>
      </c>
      <c r="F48" s="27">
        <v>935.5</v>
      </c>
      <c r="G48" s="27">
        <v>422.8</v>
      </c>
      <c r="H48" s="26">
        <v>1659.5</v>
      </c>
      <c r="I48" s="52">
        <v>1380.5</v>
      </c>
      <c r="J48" s="44">
        <v>23082.1</v>
      </c>
      <c r="L48" s="58">
        <v>38</v>
      </c>
      <c r="M48" s="47">
        <f t="shared" si="4"/>
        <v>-4.6169148736543222E-3</v>
      </c>
      <c r="N48" s="47">
        <f t="shared" si="5"/>
        <v>-2.9975399813264871E-3</v>
      </c>
      <c r="O48" s="47">
        <f t="shared" si="6"/>
        <v>7.5400922732878602E-3</v>
      </c>
      <c r="P48" s="47">
        <f t="shared" si="7"/>
        <v>4.2092665877650282E-3</v>
      </c>
      <c r="Q48" s="47">
        <f t="shared" si="8"/>
        <v>4.0482958490981342E-3</v>
      </c>
      <c r="R48" s="57"/>
    </row>
    <row r="49" spans="3:18" x14ac:dyDescent="0.3">
      <c r="C49" s="8">
        <v>39</v>
      </c>
      <c r="D49" s="25">
        <v>46049</v>
      </c>
      <c r="E49" s="26">
        <v>1361.4</v>
      </c>
      <c r="F49" s="27">
        <v>932.7</v>
      </c>
      <c r="G49" s="27">
        <v>426</v>
      </c>
      <c r="H49" s="26">
        <v>1666.5</v>
      </c>
      <c r="I49" s="52">
        <v>1386.1</v>
      </c>
      <c r="J49" s="44">
        <v>22819.25</v>
      </c>
      <c r="L49" s="56">
        <v>39</v>
      </c>
      <c r="M49" s="47">
        <f t="shared" si="4"/>
        <v>-1.3309868181086938E-2</v>
      </c>
      <c r="N49" s="47">
        <f t="shared" si="5"/>
        <v>-6.7774989140870906E-3</v>
      </c>
      <c r="O49" s="47">
        <f t="shared" si="6"/>
        <v>-1.0382349042217801E-2</v>
      </c>
      <c r="P49" s="47">
        <f t="shared" si="7"/>
        <v>9.6740274346066146E-3</v>
      </c>
      <c r="Q49" s="47">
        <f t="shared" si="8"/>
        <v>1.1762310177544017E-2</v>
      </c>
      <c r="R49" s="57"/>
    </row>
    <row r="50" spans="3:18" x14ac:dyDescent="0.3">
      <c r="C50" s="8">
        <v>40</v>
      </c>
      <c r="D50" s="25">
        <v>46045</v>
      </c>
      <c r="E50" s="26">
        <v>1343.4</v>
      </c>
      <c r="F50" s="27">
        <v>926.4</v>
      </c>
      <c r="G50" s="27">
        <v>421.6</v>
      </c>
      <c r="H50" s="26">
        <v>1682.7</v>
      </c>
      <c r="I50" s="52">
        <v>1402.5</v>
      </c>
      <c r="J50" s="44">
        <v>22706.2</v>
      </c>
      <c r="L50" s="58">
        <v>40</v>
      </c>
      <c r="M50" s="47">
        <f t="shared" si="4"/>
        <v>1.561977334196198E-3</v>
      </c>
      <c r="N50" s="47">
        <f t="shared" si="5"/>
        <v>-1.118057779756783E-2</v>
      </c>
      <c r="O50" s="47">
        <f t="shared" si="6"/>
        <v>5.2046486070460429E-3</v>
      </c>
      <c r="P50" s="47">
        <f t="shared" si="7"/>
        <v>-7.0970925593807624E-3</v>
      </c>
      <c r="Q50" s="47">
        <f t="shared" si="8"/>
        <v>1.4962063280686722E-3</v>
      </c>
      <c r="R50" s="57"/>
    </row>
    <row r="51" spans="3:18" x14ac:dyDescent="0.3">
      <c r="C51" s="8">
        <v>41</v>
      </c>
      <c r="D51" s="25">
        <v>46044</v>
      </c>
      <c r="E51" s="26">
        <v>1345.5</v>
      </c>
      <c r="F51" s="27">
        <v>916.1</v>
      </c>
      <c r="G51" s="27">
        <v>423.8</v>
      </c>
      <c r="H51" s="26">
        <v>1670.8</v>
      </c>
      <c r="I51" s="52">
        <v>1404.6</v>
      </c>
      <c r="J51" s="44">
        <v>23008.75</v>
      </c>
      <c r="L51" s="56">
        <v>41</v>
      </c>
      <c r="M51" s="47">
        <f t="shared" si="4"/>
        <v>2.5978860407954779E-3</v>
      </c>
      <c r="N51" s="47">
        <f t="shared" si="5"/>
        <v>2.8340982562577088E-3</v>
      </c>
      <c r="O51" s="47">
        <f t="shared" si="6"/>
        <v>7.288147929717605E-3</v>
      </c>
      <c r="P51" s="47">
        <f t="shared" si="7"/>
        <v>-4.3787371644887947E-3</v>
      </c>
      <c r="Q51" s="47">
        <f t="shared" si="8"/>
        <v>-7.5752524044507734E-3</v>
      </c>
      <c r="R51" s="57"/>
    </row>
    <row r="52" spans="3:18" x14ac:dyDescent="0.3">
      <c r="C52" s="8">
        <v>42</v>
      </c>
      <c r="D52" s="25">
        <v>46043</v>
      </c>
      <c r="E52" s="26">
        <v>1349</v>
      </c>
      <c r="F52" s="27">
        <v>918.7</v>
      </c>
      <c r="G52" s="27">
        <v>426.9</v>
      </c>
      <c r="H52" s="26">
        <v>1663.5</v>
      </c>
      <c r="I52" s="52">
        <v>1394</v>
      </c>
      <c r="J52" s="44">
        <v>22835.15</v>
      </c>
      <c r="L52" s="58">
        <v>42</v>
      </c>
      <c r="M52" s="47">
        <f t="shared" si="4"/>
        <v>1.9671802884157884E-2</v>
      </c>
      <c r="N52" s="47">
        <f t="shared" si="5"/>
        <v>1.7944052013101779E-3</v>
      </c>
      <c r="O52" s="47">
        <f t="shared" si="6"/>
        <v>-2.0590006769383183E-2</v>
      </c>
      <c r="P52" s="47">
        <f t="shared" si="7"/>
        <v>-5.4854111444214079E-3</v>
      </c>
      <c r="Q52" s="47">
        <f t="shared" si="8"/>
        <v>1.3962329685017318E-2</v>
      </c>
      <c r="R52" s="57"/>
    </row>
    <row r="53" spans="3:18" x14ac:dyDescent="0.3">
      <c r="C53" s="8">
        <v>43</v>
      </c>
      <c r="D53" s="25">
        <v>46042</v>
      </c>
      <c r="E53" s="26">
        <v>1375.8</v>
      </c>
      <c r="F53" s="27">
        <v>920.35</v>
      </c>
      <c r="G53" s="27">
        <v>418.2</v>
      </c>
      <c r="H53" s="26">
        <v>1654.4</v>
      </c>
      <c r="I53" s="52">
        <v>1413.6</v>
      </c>
      <c r="J53" s="44">
        <v>22946.65</v>
      </c>
      <c r="L53" s="56">
        <v>43</v>
      </c>
      <c r="M53" s="47">
        <f t="shared" si="4"/>
        <v>3.4828071774614566E-3</v>
      </c>
      <c r="N53" s="47">
        <f t="shared" si="5"/>
        <v>1.1720044498442274E-2</v>
      </c>
      <c r="O53" s="47">
        <f t="shared" si="6"/>
        <v>6.6730466878483436E-3</v>
      </c>
      <c r="P53" s="47">
        <f t="shared" si="7"/>
        <v>2.7163267841193747E-3</v>
      </c>
      <c r="Q53" s="47">
        <f t="shared" si="8"/>
        <v>3.0857402105289648E-2</v>
      </c>
      <c r="R53" s="57"/>
    </row>
    <row r="54" spans="3:18" x14ac:dyDescent="0.3">
      <c r="C54" s="8">
        <v>44</v>
      </c>
      <c r="D54" s="25">
        <v>46041</v>
      </c>
      <c r="E54" s="26">
        <v>1380.6</v>
      </c>
      <c r="F54" s="27">
        <v>931.2</v>
      </c>
      <c r="G54" s="27">
        <v>421</v>
      </c>
      <c r="H54" s="26">
        <v>1658.9</v>
      </c>
      <c r="I54" s="52">
        <v>1457.9</v>
      </c>
      <c r="J54" s="44">
        <v>23373.75</v>
      </c>
      <c r="L54" s="58">
        <v>44</v>
      </c>
      <c r="M54" s="47">
        <f t="shared" si="4"/>
        <v>2.1638732092521824E-2</v>
      </c>
      <c r="N54" s="47">
        <f t="shared" si="5"/>
        <v>-3.5501086180398512E-3</v>
      </c>
      <c r="O54" s="47">
        <f t="shared" si="6"/>
        <v>1.6224643379016976</v>
      </c>
      <c r="P54" s="47">
        <f t="shared" si="7"/>
        <v>1.3353092032732144E-2</v>
      </c>
      <c r="Q54" s="47">
        <f t="shared" si="8"/>
        <v>6.1713582374888333E-4</v>
      </c>
      <c r="R54" s="57"/>
    </row>
    <row r="55" spans="3:18" x14ac:dyDescent="0.3">
      <c r="C55" s="8">
        <v>45</v>
      </c>
      <c r="D55" s="25">
        <v>46038</v>
      </c>
      <c r="E55" s="26">
        <v>1410.8</v>
      </c>
      <c r="F55" s="27">
        <v>927.9</v>
      </c>
      <c r="G55" s="26">
        <v>2132.6</v>
      </c>
      <c r="H55" s="26">
        <v>1681.2</v>
      </c>
      <c r="I55" s="52">
        <v>1458.8</v>
      </c>
      <c r="J55" s="44">
        <v>23485.3</v>
      </c>
      <c r="L55" s="56">
        <v>45</v>
      </c>
      <c r="M55" s="47">
        <f t="shared" si="4"/>
        <v>5.3725563981013866E-3</v>
      </c>
      <c r="N55" s="47">
        <f t="shared" si="5"/>
        <v>3.4427145353505481E-3</v>
      </c>
      <c r="O55" s="47">
        <f t="shared" si="6"/>
        <v>3.2818397350296467E-4</v>
      </c>
      <c r="P55" s="47">
        <f t="shared" si="7"/>
        <v>5.1023545877827182E-3</v>
      </c>
      <c r="Q55" s="47">
        <f t="shared" si="8"/>
        <v>-4.1214510874962662E-3</v>
      </c>
      <c r="R55" s="57"/>
    </row>
    <row r="56" spans="3:18" x14ac:dyDescent="0.3">
      <c r="C56" s="8">
        <v>46</v>
      </c>
      <c r="D56" s="25">
        <v>46036</v>
      </c>
      <c r="E56" s="26">
        <v>1418.4</v>
      </c>
      <c r="F56" s="27">
        <v>931.1</v>
      </c>
      <c r="G56" s="26">
        <v>2133.3000000000002</v>
      </c>
      <c r="H56" s="26">
        <v>1689.8</v>
      </c>
      <c r="I56" s="52">
        <v>1452.8</v>
      </c>
      <c r="J56" s="44">
        <v>23475.85</v>
      </c>
      <c r="L56" s="58">
        <v>46</v>
      </c>
      <c r="M56" s="47">
        <f t="shared" si="4"/>
        <v>1.3028131319026822E-2</v>
      </c>
      <c r="N56" s="47">
        <f t="shared" si="5"/>
        <v>-6.0865771917584391E-3</v>
      </c>
      <c r="O56" s="47">
        <f t="shared" si="6"/>
        <v>-3.0515739273985275E-3</v>
      </c>
      <c r="P56" s="47">
        <f t="shared" si="7"/>
        <v>-5.4731557304022981E-2</v>
      </c>
      <c r="Q56" s="47">
        <f t="shared" si="8"/>
        <v>2.0709186964561855E-2</v>
      </c>
      <c r="R56" s="57"/>
    </row>
    <row r="57" spans="3:18" x14ac:dyDescent="0.3">
      <c r="C57" s="8">
        <v>47</v>
      </c>
      <c r="D57" s="25">
        <v>46035</v>
      </c>
      <c r="E57" s="26">
        <v>1437</v>
      </c>
      <c r="F57" s="27">
        <v>925.45</v>
      </c>
      <c r="G57" s="26">
        <v>2126.8000000000002</v>
      </c>
      <c r="H57" s="26">
        <v>1599.8</v>
      </c>
      <c r="I57" s="52">
        <v>1483.2</v>
      </c>
      <c r="J57" s="44">
        <v>23480.65</v>
      </c>
      <c r="L57" s="56">
        <v>47</v>
      </c>
      <c r="M57" s="47">
        <f t="shared" si="4"/>
        <v>-1.6771734490324448E-2</v>
      </c>
      <c r="N57" s="47">
        <f t="shared" si="5"/>
        <v>1.2776639340474771E-2</v>
      </c>
      <c r="O57" s="47">
        <f t="shared" si="6"/>
        <v>2.9109368411670013E-3</v>
      </c>
      <c r="P57" s="47">
        <f t="shared" si="7"/>
        <v>-5.0018758076722069E-4</v>
      </c>
      <c r="Q57" s="47">
        <f t="shared" si="8"/>
        <v>-5.340556888069517E-3</v>
      </c>
      <c r="R57" s="57"/>
    </row>
    <row r="58" spans="3:18" x14ac:dyDescent="0.3">
      <c r="C58" s="8">
        <v>48</v>
      </c>
      <c r="D58" s="25">
        <v>46034</v>
      </c>
      <c r="E58" s="26">
        <v>1413.1</v>
      </c>
      <c r="F58" s="27">
        <v>937.35</v>
      </c>
      <c r="G58" s="26">
        <v>2133</v>
      </c>
      <c r="H58" s="26">
        <v>1599</v>
      </c>
      <c r="I58" s="52">
        <v>1475.3</v>
      </c>
      <c r="J58" s="44">
        <v>23510.45</v>
      </c>
      <c r="L58" s="58">
        <v>48</v>
      </c>
      <c r="M58" s="47">
        <f t="shared" si="4"/>
        <v>-6.2469146145658263E-3</v>
      </c>
      <c r="N58" s="47">
        <f t="shared" si="5"/>
        <v>-4.2682602152552723E-4</v>
      </c>
      <c r="O58" s="47">
        <f t="shared" si="6"/>
        <v>5.1438037193420249E-3</v>
      </c>
      <c r="P58" s="47">
        <f t="shared" si="7"/>
        <v>-1.9405934288134682E-3</v>
      </c>
      <c r="Q58" s="47">
        <f t="shared" si="8"/>
        <v>-3.1908781613993868E-3</v>
      </c>
      <c r="R58" s="57"/>
    </row>
    <row r="59" spans="3:18" x14ac:dyDescent="0.3">
      <c r="C59" s="8">
        <v>49</v>
      </c>
      <c r="D59" s="25">
        <v>46031</v>
      </c>
      <c r="E59" s="26">
        <v>1404.3</v>
      </c>
      <c r="F59" s="27">
        <v>936.95</v>
      </c>
      <c r="G59" s="26">
        <v>2144</v>
      </c>
      <c r="H59" s="26">
        <v>1595.9</v>
      </c>
      <c r="I59" s="52">
        <v>1470.6</v>
      </c>
      <c r="J59" s="44">
        <v>23467.35</v>
      </c>
      <c r="L59" s="56">
        <v>49</v>
      </c>
      <c r="M59" s="47">
        <f t="shared" si="4"/>
        <v>2.1625891219587016E-2</v>
      </c>
      <c r="N59" s="47">
        <f t="shared" si="5"/>
        <v>2.1855601865879764E-3</v>
      </c>
      <c r="O59" s="47">
        <f t="shared" si="6"/>
        <v>1.1187769207218849E-3</v>
      </c>
      <c r="P59" s="47">
        <f t="shared" si="7"/>
        <v>1.1339685374093059E-2</v>
      </c>
      <c r="Q59" s="47">
        <f t="shared" si="8"/>
        <v>2.2590714630180982E-2</v>
      </c>
      <c r="R59" s="57"/>
    </row>
    <row r="60" spans="3:18" x14ac:dyDescent="0.3">
      <c r="C60" s="8">
        <v>50</v>
      </c>
      <c r="D60" s="25">
        <v>46030</v>
      </c>
      <c r="E60" s="26">
        <v>1435</v>
      </c>
      <c r="F60" s="27">
        <v>939</v>
      </c>
      <c r="G60" s="26">
        <v>2146.4</v>
      </c>
      <c r="H60" s="26">
        <v>1614.1</v>
      </c>
      <c r="I60" s="52">
        <v>1504.2</v>
      </c>
      <c r="J60" s="44">
        <v>23680.1</v>
      </c>
      <c r="L60" s="58">
        <v>50</v>
      </c>
      <c r="M60" s="47">
        <f t="shared" si="4"/>
        <v>-5.1000913985470376E-3</v>
      </c>
      <c r="N60" s="47">
        <f t="shared" si="5"/>
        <v>8.1667739265827294E-3</v>
      </c>
      <c r="O60" s="47">
        <f t="shared" si="6"/>
        <v>2.0520398182759352E-2</v>
      </c>
      <c r="P60" s="47">
        <f t="shared" si="7"/>
        <v>-4.9575510713565903E-4</v>
      </c>
      <c r="Q60" s="47">
        <f t="shared" si="8"/>
        <v>2.2577870006776466E-3</v>
      </c>
      <c r="R60" s="57"/>
    </row>
    <row r="61" spans="3:18" x14ac:dyDescent="0.3">
      <c r="C61" s="8">
        <v>51</v>
      </c>
      <c r="D61" s="25">
        <v>46029</v>
      </c>
      <c r="E61" s="26">
        <v>1427.7</v>
      </c>
      <c r="F61" s="27">
        <v>946.7</v>
      </c>
      <c r="G61" s="26">
        <v>2190.9</v>
      </c>
      <c r="H61" s="26">
        <v>1613.3</v>
      </c>
      <c r="I61" s="52">
        <v>1507.6</v>
      </c>
      <c r="J61" s="44">
        <v>24016.6</v>
      </c>
      <c r="L61" s="56">
        <v>51</v>
      </c>
      <c r="M61" s="47">
        <f t="shared" si="4"/>
        <v>-1.1624351542647572E-2</v>
      </c>
      <c r="N61" s="47">
        <f t="shared" si="5"/>
        <v>2.4792311261574245E-3</v>
      </c>
      <c r="O61" s="47">
        <f t="shared" si="6"/>
        <v>1.9151852639201731E-3</v>
      </c>
      <c r="P61" s="47">
        <f t="shared" si="7"/>
        <v>1.5804529071731552E-2</v>
      </c>
      <c r="Q61" s="47">
        <f t="shared" si="8"/>
        <v>4.570260936110674E-2</v>
      </c>
      <c r="R61" s="57"/>
    </row>
    <row r="62" spans="3:18" x14ac:dyDescent="0.3">
      <c r="C62" s="8">
        <v>52</v>
      </c>
      <c r="D62" s="25">
        <v>46028</v>
      </c>
      <c r="E62" s="26">
        <v>1411.2</v>
      </c>
      <c r="F62" s="27">
        <v>949.05</v>
      </c>
      <c r="G62" s="26">
        <v>2195.1</v>
      </c>
      <c r="H62" s="26">
        <v>1639</v>
      </c>
      <c r="I62" s="52">
        <v>1578.1</v>
      </c>
      <c r="J62" s="44">
        <v>24010.5</v>
      </c>
      <c r="L62" s="58">
        <v>52</v>
      </c>
      <c r="M62" s="47">
        <f t="shared" si="4"/>
        <v>-2.8535374874868978E-2</v>
      </c>
      <c r="N62" s="47">
        <f t="shared" si="5"/>
        <v>1.3760845004350332E-2</v>
      </c>
      <c r="O62" s="47">
        <f t="shared" si="6"/>
        <v>1.0288109961021578E-2</v>
      </c>
      <c r="P62" s="47">
        <f t="shared" si="7"/>
        <v>-1.648659389432907E-2</v>
      </c>
      <c r="Q62" s="47">
        <f t="shared" si="8"/>
        <v>8.9579201082933355E-3</v>
      </c>
      <c r="R62" s="57"/>
    </row>
    <row r="63" spans="3:18" x14ac:dyDescent="0.3">
      <c r="C63" s="8">
        <v>53</v>
      </c>
      <c r="D63" s="25">
        <v>46027</v>
      </c>
      <c r="E63" s="26">
        <v>1371.5</v>
      </c>
      <c r="F63" s="27">
        <v>962.2</v>
      </c>
      <c r="G63" s="26">
        <v>2217.8000000000002</v>
      </c>
      <c r="H63" s="26">
        <v>1612.2</v>
      </c>
      <c r="I63" s="52">
        <v>1592.3</v>
      </c>
      <c r="J63" s="44">
        <v>24058.45</v>
      </c>
      <c r="L63" s="56">
        <v>53</v>
      </c>
      <c r="M63" s="47">
        <f t="shared" si="4"/>
        <v>-1.1808417675645286E-2</v>
      </c>
      <c r="N63" s="47">
        <f t="shared" si="5"/>
        <v>1.57759625941674E-2</v>
      </c>
      <c r="O63" s="47">
        <f t="shared" si="6"/>
        <v>-7.5584781310573165E-3</v>
      </c>
      <c r="P63" s="47">
        <f t="shared" si="7"/>
        <v>-3.6040553520904498E-3</v>
      </c>
      <c r="Q63" s="47">
        <f t="shared" si="8"/>
        <v>-1.0543359765629571E-2</v>
      </c>
      <c r="R63" s="57"/>
    </row>
    <row r="64" spans="3:18" x14ac:dyDescent="0.3">
      <c r="C64" s="8">
        <v>54</v>
      </c>
      <c r="D64" s="25">
        <v>46024</v>
      </c>
      <c r="E64" s="26">
        <v>1355.4</v>
      </c>
      <c r="F64" s="27">
        <v>977.5</v>
      </c>
      <c r="G64" s="26">
        <v>2201.1</v>
      </c>
      <c r="H64" s="26">
        <v>1606.4</v>
      </c>
      <c r="I64" s="52">
        <v>1575.6</v>
      </c>
      <c r="J64" s="44">
        <v>24099</v>
      </c>
      <c r="L64" s="58">
        <v>54</v>
      </c>
      <c r="M64" s="47">
        <f t="shared" si="4"/>
        <v>-1.2920652013838853E-2</v>
      </c>
      <c r="N64" s="47">
        <f t="shared" si="5"/>
        <v>2.4355708486313236E-2</v>
      </c>
      <c r="O64" s="47">
        <f t="shared" si="6"/>
        <v>-2.2234367187657273E-2</v>
      </c>
      <c r="P64" s="47">
        <f t="shared" si="7"/>
        <v>2.0944464020494054E-2</v>
      </c>
      <c r="Q64" s="47">
        <f t="shared" si="8"/>
        <v>-3.3057881344994329E-3</v>
      </c>
      <c r="R64" s="57"/>
    </row>
    <row r="65" spans="3:18" x14ac:dyDescent="0.3">
      <c r="C65" s="8">
        <v>55</v>
      </c>
      <c r="D65" s="25">
        <v>46023</v>
      </c>
      <c r="E65" s="26">
        <v>1338</v>
      </c>
      <c r="F65" s="26">
        <v>1001.6</v>
      </c>
      <c r="G65" s="26">
        <v>2152.6999999999998</v>
      </c>
      <c r="H65" s="26">
        <v>1640.4</v>
      </c>
      <c r="I65" s="52">
        <v>1570.4</v>
      </c>
      <c r="J65" s="44">
        <v>23909.55</v>
      </c>
      <c r="L65" s="56">
        <v>55</v>
      </c>
      <c r="M65" s="47">
        <f t="shared" si="4"/>
        <v>3.6554928989558978E-3</v>
      </c>
      <c r="N65" s="47">
        <f t="shared" si="5"/>
        <v>-1.048811520961419E-2</v>
      </c>
      <c r="O65" s="47">
        <f t="shared" si="6"/>
        <v>2.7369951908448875E-3</v>
      </c>
      <c r="P65" s="47">
        <f t="shared" si="7"/>
        <v>-6.4828066317848543E-3</v>
      </c>
      <c r="Q65" s="47">
        <f t="shared" si="8"/>
        <v>-1.9677826118302169E-2</v>
      </c>
      <c r="R65" s="57"/>
    </row>
    <row r="66" spans="3:18" x14ac:dyDescent="0.3">
      <c r="C66" s="8">
        <v>56</v>
      </c>
      <c r="D66" s="25">
        <v>46022</v>
      </c>
      <c r="E66" s="26">
        <v>1342.9</v>
      </c>
      <c r="F66" s="27">
        <v>991.15</v>
      </c>
      <c r="G66" s="26">
        <v>2158.6</v>
      </c>
      <c r="H66" s="26">
        <v>1629.8</v>
      </c>
      <c r="I66" s="52">
        <v>1539.8</v>
      </c>
      <c r="J66" s="44">
        <v>23871.55</v>
      </c>
      <c r="L66" s="58">
        <v>56</v>
      </c>
      <c r="M66" s="47">
        <f t="shared" si="4"/>
        <v>-2.9790720410986473E-4</v>
      </c>
      <c r="N66" s="47">
        <f t="shared" si="5"/>
        <v>5.0445178712778187E-5</v>
      </c>
      <c r="O66" s="47">
        <f t="shared" si="6"/>
        <v>2.5909147463023469E-3</v>
      </c>
      <c r="P66" s="47">
        <f t="shared" si="7"/>
        <v>-8.8747038779233445E-3</v>
      </c>
      <c r="Q66" s="47">
        <f t="shared" si="8"/>
        <v>3.7596466143042951E-3</v>
      </c>
      <c r="R66" s="57"/>
    </row>
    <row r="67" spans="3:18" x14ac:dyDescent="0.3">
      <c r="C67" s="8">
        <v>57</v>
      </c>
      <c r="D67" s="25">
        <v>46021</v>
      </c>
      <c r="E67" s="26">
        <v>1342.5</v>
      </c>
      <c r="F67" s="27">
        <v>991.2</v>
      </c>
      <c r="G67" s="26">
        <v>2164.1999999999998</v>
      </c>
      <c r="H67" s="26">
        <v>1615.4</v>
      </c>
      <c r="I67" s="52">
        <v>1545.6</v>
      </c>
      <c r="J67" s="44">
        <v>23668.799999999999</v>
      </c>
      <c r="L67" s="56">
        <v>57</v>
      </c>
      <c r="M67" s="47">
        <f t="shared" si="4"/>
        <v>5.9572568594764544E-4</v>
      </c>
      <c r="N67" s="47">
        <f t="shared" si="5"/>
        <v>-3.0270925007906051E-4</v>
      </c>
      <c r="O67" s="47">
        <f t="shared" si="6"/>
        <v>-2.3105894416440079E-4</v>
      </c>
      <c r="P67" s="47">
        <f t="shared" si="7"/>
        <v>3.8307121295941531E-3</v>
      </c>
      <c r="Q67" s="47">
        <f t="shared" si="8"/>
        <v>8.7606847350975119E-3</v>
      </c>
      <c r="R67" s="57"/>
    </row>
    <row r="68" spans="3:18" x14ac:dyDescent="0.3">
      <c r="C68" s="8">
        <v>58</v>
      </c>
      <c r="D68" s="25">
        <v>46020</v>
      </c>
      <c r="E68" s="26">
        <v>1343.3</v>
      </c>
      <c r="F68" s="27">
        <v>990.9</v>
      </c>
      <c r="G68" s="26">
        <v>2163.6999999999998</v>
      </c>
      <c r="H68" s="26">
        <v>1621.6</v>
      </c>
      <c r="I68" s="52">
        <v>1559.2</v>
      </c>
      <c r="J68" s="44">
        <v>23682.1</v>
      </c>
      <c r="L68" s="58">
        <v>58</v>
      </c>
      <c r="M68" s="47">
        <f t="shared" si="4"/>
        <v>5.2715717727251374E-3</v>
      </c>
      <c r="N68" s="47">
        <f t="shared" si="5"/>
        <v>8.0702112722572399E-4</v>
      </c>
      <c r="O68" s="47">
        <f t="shared" si="6"/>
        <v>-4.6227811474130451E-4</v>
      </c>
      <c r="P68" s="47">
        <f t="shared" si="7"/>
        <v>1.4144680609433243E-2</v>
      </c>
      <c r="Q68" s="47">
        <f t="shared" si="8"/>
        <v>-6.415602965933187E-4</v>
      </c>
      <c r="R68" s="57"/>
    </row>
    <row r="69" spans="3:18" x14ac:dyDescent="0.3">
      <c r="C69" s="8">
        <v>59</v>
      </c>
      <c r="D69" s="25">
        <v>46017</v>
      </c>
      <c r="E69" s="26">
        <v>1350.4</v>
      </c>
      <c r="F69" s="27">
        <v>991.7</v>
      </c>
      <c r="G69" s="26">
        <v>2162.6999999999998</v>
      </c>
      <c r="H69" s="26">
        <v>1644.7</v>
      </c>
      <c r="I69" s="52">
        <v>1558.2</v>
      </c>
      <c r="J69" s="44">
        <v>23780.25</v>
      </c>
      <c r="L69" s="56">
        <v>59</v>
      </c>
      <c r="M69" s="47">
        <f t="shared" si="4"/>
        <v>6.9367852506664416E-3</v>
      </c>
      <c r="N69" s="47">
        <f t="shared" si="5"/>
        <v>4.0326646377735322E-4</v>
      </c>
      <c r="O69" s="47">
        <f t="shared" si="6"/>
        <v>-6.0291435765526414E-3</v>
      </c>
      <c r="P69" s="47">
        <f t="shared" si="7"/>
        <v>6.9074438482218115E-3</v>
      </c>
      <c r="Q69" s="47">
        <f t="shared" si="8"/>
        <v>7.990070952228855E-3</v>
      </c>
      <c r="R69" s="57"/>
    </row>
    <row r="70" spans="3:18" x14ac:dyDescent="0.3">
      <c r="C70" s="8">
        <v>60</v>
      </c>
      <c r="D70" s="25">
        <v>46015</v>
      </c>
      <c r="E70" s="26">
        <v>1359.8</v>
      </c>
      <c r="F70" s="27">
        <v>992.1</v>
      </c>
      <c r="G70" s="26">
        <v>2149.6999999999998</v>
      </c>
      <c r="H70" s="26">
        <v>1656.1</v>
      </c>
      <c r="I70" s="52">
        <v>1570.7</v>
      </c>
      <c r="J70" s="44">
        <v>23850.25</v>
      </c>
      <c r="L70" s="58">
        <v>60</v>
      </c>
      <c r="M70" s="47">
        <f t="shared" si="4"/>
        <v>2.3505226041732967E-3</v>
      </c>
      <c r="N70" s="47">
        <f t="shared" si="5"/>
        <v>5.1274429935460478E-3</v>
      </c>
      <c r="O70" s="47">
        <f t="shared" si="6"/>
        <v>4.5484158986659612E-3</v>
      </c>
      <c r="P70" s="47">
        <f t="shared" si="7"/>
        <v>4.3982598391420656E-3</v>
      </c>
      <c r="Q70" s="47">
        <f t="shared" si="8"/>
        <v>2.987828420237231E-3</v>
      </c>
      <c r="R70" s="57"/>
    </row>
    <row r="71" spans="3:18" x14ac:dyDescent="0.3">
      <c r="C71" s="8">
        <v>61</v>
      </c>
      <c r="D71" s="25">
        <v>46014</v>
      </c>
      <c r="E71" s="26">
        <v>1363</v>
      </c>
      <c r="F71" s="27">
        <v>997.2</v>
      </c>
      <c r="G71" s="26">
        <v>2159.5</v>
      </c>
      <c r="H71" s="26">
        <v>1663.4</v>
      </c>
      <c r="I71" s="52">
        <v>1575.4</v>
      </c>
      <c r="J71" s="44">
        <v>23895.15</v>
      </c>
      <c r="L71" s="56">
        <v>61</v>
      </c>
      <c r="M71" s="47">
        <f t="shared" si="4"/>
        <v>4.0270967842011493E-3</v>
      </c>
      <c r="N71" s="47">
        <f t="shared" si="5"/>
        <v>-6.0186580209867343E-4</v>
      </c>
      <c r="O71" s="47">
        <f t="shared" si="6"/>
        <v>2.3588734602902456E-3</v>
      </c>
      <c r="P71" s="47">
        <f t="shared" si="7"/>
        <v>2.9414434270407372E-3</v>
      </c>
      <c r="Q71" s="47">
        <f t="shared" si="8"/>
        <v>-6.5594885727673566E-3</v>
      </c>
      <c r="R71" s="57"/>
    </row>
    <row r="72" spans="3:18" x14ac:dyDescent="0.3">
      <c r="C72" s="8">
        <v>62</v>
      </c>
      <c r="D72" s="25">
        <v>46013</v>
      </c>
      <c r="E72" s="26">
        <v>1368.5</v>
      </c>
      <c r="F72" s="27">
        <v>996.6</v>
      </c>
      <c r="G72" s="26">
        <v>2164.6</v>
      </c>
      <c r="H72" s="26">
        <v>1668.3</v>
      </c>
      <c r="I72" s="52">
        <v>1565.1</v>
      </c>
      <c r="J72" s="44">
        <v>23867.65</v>
      </c>
      <c r="L72" s="58">
        <v>62</v>
      </c>
      <c r="M72" s="47">
        <f t="shared" si="4"/>
        <v>-1.0578222491955442E-2</v>
      </c>
      <c r="N72" s="47">
        <f t="shared" si="5"/>
        <v>-8.9704779332225298E-3</v>
      </c>
      <c r="O72" s="47">
        <f t="shared" si="6"/>
        <v>3.9651488163219362E-3</v>
      </c>
      <c r="P72" s="47">
        <f t="shared" si="7"/>
        <v>1.2686670650314303E-2</v>
      </c>
      <c r="Q72" s="47">
        <f t="shared" si="8"/>
        <v>-1.3314234306375345E-2</v>
      </c>
      <c r="R72" s="57"/>
    </row>
    <row r="73" spans="3:18" x14ac:dyDescent="0.3">
      <c r="C73" s="8">
        <v>63</v>
      </c>
      <c r="D73" s="25">
        <v>46010</v>
      </c>
      <c r="E73" s="26">
        <v>1354.1</v>
      </c>
      <c r="F73" s="27">
        <v>987.7</v>
      </c>
      <c r="G73" s="26">
        <v>2173.1999999999998</v>
      </c>
      <c r="H73" s="26">
        <v>1689.6</v>
      </c>
      <c r="I73" s="52">
        <v>1544.4</v>
      </c>
      <c r="J73" s="44">
        <v>23677.55</v>
      </c>
      <c r="L73" s="56">
        <v>63</v>
      </c>
      <c r="M73" s="47">
        <f t="shared" si="4"/>
        <v>1.9919590488603036E-3</v>
      </c>
      <c r="N73" s="47">
        <f t="shared" si="5"/>
        <v>-2.2298813213067299E-3</v>
      </c>
      <c r="O73" s="47">
        <f t="shared" si="6"/>
        <v>4.2244529717750303E-3</v>
      </c>
      <c r="P73" s="47">
        <f t="shared" si="7"/>
        <v>-3.0588569959763858E-2</v>
      </c>
      <c r="Q73" s="47">
        <f t="shared" si="8"/>
        <v>0</v>
      </c>
      <c r="R73" s="57"/>
    </row>
    <row r="74" spans="3:18" x14ac:dyDescent="0.3">
      <c r="C74" s="8">
        <v>64</v>
      </c>
      <c r="D74" s="25">
        <v>46009</v>
      </c>
      <c r="E74" s="26">
        <v>1356.8</v>
      </c>
      <c r="F74" s="27">
        <v>985.5</v>
      </c>
      <c r="G74" s="26">
        <v>2182.4</v>
      </c>
      <c r="H74" s="26">
        <v>1638.7</v>
      </c>
      <c r="I74" s="52">
        <v>1544.4</v>
      </c>
      <c r="J74" s="44">
        <v>23491.5</v>
      </c>
      <c r="L74" s="58">
        <v>64</v>
      </c>
      <c r="M74" s="47">
        <f t="shared" si="4"/>
        <v>-3.2481942039075825E-3</v>
      </c>
      <c r="N74" s="47">
        <f t="shared" si="5"/>
        <v>-5.9027242421782599E-3</v>
      </c>
      <c r="O74" s="47">
        <f t="shared" si="6"/>
        <v>-5.0415932502211091E-4</v>
      </c>
      <c r="P74" s="47">
        <f t="shared" si="7"/>
        <v>-7.2883495191089801E-3</v>
      </c>
      <c r="Q74" s="47">
        <f t="shared" si="8"/>
        <v>-1.3606766605126813E-3</v>
      </c>
      <c r="R74" s="57"/>
    </row>
    <row r="75" spans="3:18" x14ac:dyDescent="0.3">
      <c r="C75" s="8">
        <v>65</v>
      </c>
      <c r="D75" s="25">
        <v>46008</v>
      </c>
      <c r="E75" s="26">
        <v>1352.4</v>
      </c>
      <c r="F75" s="27">
        <v>979.7</v>
      </c>
      <c r="G75" s="26">
        <v>2181.3000000000002</v>
      </c>
      <c r="H75" s="26">
        <v>1626.8</v>
      </c>
      <c r="I75" s="52">
        <v>1542.3</v>
      </c>
      <c r="J75" s="44">
        <v>23496.05</v>
      </c>
      <c r="L75" s="56">
        <v>65</v>
      </c>
      <c r="M75" s="47">
        <f t="shared" si="4"/>
        <v>1.0005969297004485E-2</v>
      </c>
      <c r="N75" s="47">
        <f t="shared" si="5"/>
        <v>4.3794947016567902E-3</v>
      </c>
      <c r="O75" s="47">
        <f t="shared" si="6"/>
        <v>-2.1570030621597155E-3</v>
      </c>
      <c r="P75" s="47">
        <f t="shared" si="7"/>
        <v>-1.5362046404764927E-2</v>
      </c>
      <c r="Q75" s="47">
        <f t="shared" si="8"/>
        <v>8.9721434532611336E-3</v>
      </c>
      <c r="R75" s="57"/>
    </row>
    <row r="76" spans="3:18" x14ac:dyDescent="0.3">
      <c r="C76" s="8">
        <v>66</v>
      </c>
      <c r="D76" s="25">
        <v>46007</v>
      </c>
      <c r="E76" s="26">
        <v>1366</v>
      </c>
      <c r="F76" s="27">
        <v>984</v>
      </c>
      <c r="G76" s="26">
        <v>2176.6</v>
      </c>
      <c r="H76" s="26">
        <v>1602</v>
      </c>
      <c r="I76" s="52">
        <v>1556.2</v>
      </c>
      <c r="J76" s="44">
        <v>23570.15</v>
      </c>
      <c r="L76" s="58">
        <v>66</v>
      </c>
      <c r="M76" s="47">
        <f t="shared" ref="M76:M139" si="9">LN(E77/E76)</f>
        <v>-5.8582309818336353E-4</v>
      </c>
      <c r="N76" s="47">
        <f t="shared" ref="N76:N139" si="10">LN(F77/F76)</f>
        <v>1.0413074933774503E-2</v>
      </c>
      <c r="O76" s="47">
        <f t="shared" ref="O76:O139" si="11">LN(G77/G76)</f>
        <v>1.6525894322969128E-3</v>
      </c>
      <c r="P76" s="47">
        <f t="shared" ref="P76:P139" si="12">LN(H77/H76)</f>
        <v>-5.6965943277118821E-3</v>
      </c>
      <c r="Q76" s="47">
        <f t="shared" ref="Q76:Q139" si="13">LN(I77/I76)</f>
        <v>1.9275869883310156E-4</v>
      </c>
      <c r="R76" s="57"/>
    </row>
    <row r="77" spans="3:18" x14ac:dyDescent="0.3">
      <c r="C77" s="8">
        <v>67</v>
      </c>
      <c r="D77" s="25">
        <v>46006</v>
      </c>
      <c r="E77" s="26">
        <v>1365.2</v>
      </c>
      <c r="F77" s="27">
        <v>994.3</v>
      </c>
      <c r="G77" s="26">
        <v>2180.1999999999998</v>
      </c>
      <c r="H77" s="26">
        <v>1592.9</v>
      </c>
      <c r="I77" s="52">
        <v>1556.5</v>
      </c>
      <c r="J77" s="44">
        <v>23725.200000000001</v>
      </c>
      <c r="L77" s="56">
        <v>67</v>
      </c>
      <c r="M77" s="47">
        <f t="shared" si="9"/>
        <v>5.858230981832988E-4</v>
      </c>
      <c r="N77" s="47">
        <f t="shared" si="10"/>
        <v>1.8086821650921791E-3</v>
      </c>
      <c r="O77" s="47">
        <f t="shared" si="11"/>
        <v>-2.3529405330989895E-2</v>
      </c>
      <c r="P77" s="47">
        <f t="shared" si="12"/>
        <v>8.6883691845344446E-3</v>
      </c>
      <c r="Q77" s="47">
        <f t="shared" si="13"/>
        <v>-7.4158005498169838E-3</v>
      </c>
      <c r="R77" s="57"/>
    </row>
    <row r="78" spans="3:18" x14ac:dyDescent="0.3">
      <c r="C78" s="8">
        <v>68</v>
      </c>
      <c r="D78" s="25">
        <v>46003</v>
      </c>
      <c r="E78" s="26">
        <v>1366</v>
      </c>
      <c r="F78" s="27">
        <v>996.1</v>
      </c>
      <c r="G78" s="26">
        <v>2129.5</v>
      </c>
      <c r="H78" s="26">
        <v>1606.8</v>
      </c>
      <c r="I78" s="52">
        <v>1545</v>
      </c>
      <c r="J78" s="44">
        <v>23726.2</v>
      </c>
      <c r="L78" s="58">
        <v>68</v>
      </c>
      <c r="M78" s="47">
        <f t="shared" si="9"/>
        <v>-4.4020614006376529E-3</v>
      </c>
      <c r="N78" s="47">
        <f t="shared" si="10"/>
        <v>5.4065009547529927E-3</v>
      </c>
      <c r="O78" s="47">
        <f t="shared" si="11"/>
        <v>-8.4562628359617566E-4</v>
      </c>
      <c r="P78" s="47">
        <f t="shared" si="12"/>
        <v>-5.3666275447646124E-3</v>
      </c>
      <c r="Q78" s="47">
        <f t="shared" si="13"/>
        <v>-5.2565097185794463E-3</v>
      </c>
      <c r="R78" s="57"/>
    </row>
    <row r="79" spans="3:18" x14ac:dyDescent="0.3">
      <c r="C79" s="8">
        <v>69</v>
      </c>
      <c r="D79" s="25">
        <v>46002</v>
      </c>
      <c r="E79" s="26">
        <v>1360</v>
      </c>
      <c r="F79" s="26">
        <v>1001.5</v>
      </c>
      <c r="G79" s="26">
        <v>2127.6999999999998</v>
      </c>
      <c r="H79" s="26">
        <v>1598.2</v>
      </c>
      <c r="I79" s="52">
        <v>1536.9</v>
      </c>
      <c r="J79" s="44">
        <v>23550.85</v>
      </c>
      <c r="L79" s="56">
        <v>69</v>
      </c>
      <c r="M79" s="47">
        <f t="shared" si="9"/>
        <v>2.643561533650373E-3</v>
      </c>
      <c r="N79" s="47">
        <f t="shared" si="10"/>
        <v>-1.1751252588087346E-2</v>
      </c>
      <c r="O79" s="47">
        <f t="shared" si="11"/>
        <v>1.2702734669193678E-2</v>
      </c>
      <c r="P79" s="47">
        <f t="shared" si="12"/>
        <v>-8.4197795560212903E-3</v>
      </c>
      <c r="Q79" s="47">
        <f t="shared" si="13"/>
        <v>3.9611727498944866E-3</v>
      </c>
      <c r="R79" s="57"/>
    </row>
    <row r="80" spans="3:18" x14ac:dyDescent="0.3">
      <c r="C80" s="8">
        <v>70</v>
      </c>
      <c r="D80" s="25">
        <v>46001</v>
      </c>
      <c r="E80" s="26">
        <v>1363.6</v>
      </c>
      <c r="F80" s="27">
        <v>989.8</v>
      </c>
      <c r="G80" s="26">
        <v>2154.9</v>
      </c>
      <c r="H80" s="26">
        <v>1584.8</v>
      </c>
      <c r="I80" s="52">
        <v>1543</v>
      </c>
      <c r="J80" s="44">
        <v>23408.799999999999</v>
      </c>
      <c r="L80" s="58">
        <v>70</v>
      </c>
      <c r="M80" s="47">
        <f t="shared" si="9"/>
        <v>-1.9085376122819197E-3</v>
      </c>
      <c r="N80" s="47">
        <f t="shared" si="10"/>
        <v>1.055233147334932E-2</v>
      </c>
      <c r="O80" s="47">
        <f t="shared" si="11"/>
        <v>-1.0871447326238478E-2</v>
      </c>
      <c r="P80" s="47">
        <f t="shared" si="12"/>
        <v>8.2946309418789246E-3</v>
      </c>
      <c r="Q80" s="47">
        <f t="shared" si="13"/>
        <v>-8.8530717530360716E-3</v>
      </c>
      <c r="R80" s="57"/>
    </row>
    <row r="81" spans="3:18" x14ac:dyDescent="0.3">
      <c r="C81" s="8">
        <v>71</v>
      </c>
      <c r="D81" s="25">
        <v>46001</v>
      </c>
      <c r="E81" s="26">
        <v>1361</v>
      </c>
      <c r="F81" s="26">
        <v>1000.3</v>
      </c>
      <c r="G81" s="26">
        <v>2131.6</v>
      </c>
      <c r="H81" s="26">
        <v>1598</v>
      </c>
      <c r="I81" s="52">
        <v>1529.4</v>
      </c>
      <c r="J81" s="44">
        <v>23516.25</v>
      </c>
      <c r="L81" s="56">
        <v>71</v>
      </c>
      <c r="M81" s="47">
        <f t="shared" si="9"/>
        <v>1.0379451417173459E-2</v>
      </c>
      <c r="N81" s="47">
        <f t="shared" si="10"/>
        <v>-3.2041681563876752E-3</v>
      </c>
      <c r="O81" s="47">
        <f t="shared" si="11"/>
        <v>1.7811113215749673E-3</v>
      </c>
      <c r="P81" s="47">
        <f t="shared" si="12"/>
        <v>6.2558650773416767E-4</v>
      </c>
      <c r="Q81" s="47">
        <f t="shared" si="13"/>
        <v>7.2964493087405826E-3</v>
      </c>
      <c r="R81" s="57"/>
    </row>
    <row r="82" spans="3:18" x14ac:dyDescent="0.3">
      <c r="C82" s="8">
        <v>72</v>
      </c>
      <c r="D82" s="25">
        <v>46000</v>
      </c>
      <c r="E82" s="26">
        <v>1375.2</v>
      </c>
      <c r="F82" s="27">
        <v>997.1</v>
      </c>
      <c r="G82" s="26">
        <v>2135.4</v>
      </c>
      <c r="H82" s="26">
        <v>1599</v>
      </c>
      <c r="I82" s="52">
        <v>1540.6</v>
      </c>
      <c r="J82" s="44">
        <v>23526.2</v>
      </c>
      <c r="L82" s="58">
        <v>72</v>
      </c>
      <c r="M82" s="47">
        <f t="shared" si="9"/>
        <v>1.041676085825558E-2</v>
      </c>
      <c r="N82" s="47">
        <f t="shared" si="10"/>
        <v>5.9994180546922519E-3</v>
      </c>
      <c r="O82" s="47">
        <f t="shared" si="11"/>
        <v>4.9982586832339176E-3</v>
      </c>
      <c r="P82" s="47">
        <f t="shared" si="12"/>
        <v>7.3525161433448715E-3</v>
      </c>
      <c r="Q82" s="47">
        <f t="shared" si="13"/>
        <v>-3.2507667922227483E-3</v>
      </c>
      <c r="R82" s="57"/>
    </row>
    <row r="83" spans="3:18" x14ac:dyDescent="0.3">
      <c r="C83" s="8">
        <v>73</v>
      </c>
      <c r="D83" s="25">
        <v>45999</v>
      </c>
      <c r="E83" s="26">
        <v>1389.6</v>
      </c>
      <c r="F83" s="26">
        <v>1003.1</v>
      </c>
      <c r="G83" s="26">
        <v>2146.1</v>
      </c>
      <c r="H83" s="26">
        <v>1610.8</v>
      </c>
      <c r="I83" s="52">
        <v>1535.6</v>
      </c>
      <c r="J83" s="44">
        <v>23835.25</v>
      </c>
      <c r="L83" s="56">
        <v>73</v>
      </c>
      <c r="M83" s="47">
        <f t="shared" si="9"/>
        <v>2.0847568745438663E-3</v>
      </c>
      <c r="N83" s="47">
        <f t="shared" si="10"/>
        <v>1.9936204212756936E-4</v>
      </c>
      <c r="O83" s="47">
        <f t="shared" si="11"/>
        <v>-1.7255454905279553E-3</v>
      </c>
      <c r="P83" s="47">
        <f t="shared" si="12"/>
        <v>3.3467648220482128E-3</v>
      </c>
      <c r="Q83" s="47">
        <f t="shared" si="13"/>
        <v>2.0817077514975117E-3</v>
      </c>
      <c r="R83" s="57"/>
    </row>
    <row r="84" spans="3:18" x14ac:dyDescent="0.3">
      <c r="C84" s="8">
        <v>74</v>
      </c>
      <c r="D84" s="25">
        <v>45996</v>
      </c>
      <c r="E84" s="26">
        <v>1392.5</v>
      </c>
      <c r="F84" s="26">
        <v>1003.3</v>
      </c>
      <c r="G84" s="26">
        <v>2142.4</v>
      </c>
      <c r="H84" s="26">
        <v>1616.2</v>
      </c>
      <c r="I84" s="52">
        <v>1538.8</v>
      </c>
      <c r="J84" s="44">
        <v>23741.1</v>
      </c>
      <c r="L84" s="58">
        <v>74</v>
      </c>
      <c r="M84" s="47">
        <f t="shared" si="9"/>
        <v>-4.1738690416205405E-3</v>
      </c>
      <c r="N84" s="47">
        <f t="shared" si="10"/>
        <v>-6.0984942821642211E-3</v>
      </c>
      <c r="O84" s="47">
        <f t="shared" si="11"/>
        <v>2.4242436115062545E-3</v>
      </c>
      <c r="P84" s="47">
        <f t="shared" si="12"/>
        <v>-1.1575211697741849E-2</v>
      </c>
      <c r="Q84" s="47">
        <f t="shared" si="13"/>
        <v>4.8620886032446449E-3</v>
      </c>
      <c r="R84" s="57"/>
    </row>
    <row r="85" spans="3:18" x14ac:dyDescent="0.3">
      <c r="C85" s="8">
        <v>75</v>
      </c>
      <c r="D85" s="25">
        <v>45995</v>
      </c>
      <c r="E85" s="26">
        <v>1386.7</v>
      </c>
      <c r="F85" s="27">
        <v>997.2</v>
      </c>
      <c r="G85" s="26">
        <v>2147.6</v>
      </c>
      <c r="H85" s="26">
        <v>1597.6</v>
      </c>
      <c r="I85" s="52">
        <v>1546.3</v>
      </c>
      <c r="J85" s="44">
        <v>23716.3</v>
      </c>
      <c r="L85" s="56">
        <v>75</v>
      </c>
      <c r="M85" s="47">
        <f t="shared" si="9"/>
        <v>3.4554782061269524E-3</v>
      </c>
      <c r="N85" s="47">
        <f t="shared" si="10"/>
        <v>3.3038023743852557E-3</v>
      </c>
      <c r="O85" s="47">
        <f t="shared" si="11"/>
        <v>-1.0861530000170269E-2</v>
      </c>
      <c r="P85" s="47">
        <f t="shared" si="12"/>
        <v>-1.1900779563924213E-2</v>
      </c>
      <c r="Q85" s="47">
        <f t="shared" si="13"/>
        <v>1.2723471991003307E-2</v>
      </c>
      <c r="R85" s="57"/>
    </row>
    <row r="86" spans="3:18" x14ac:dyDescent="0.3">
      <c r="C86" s="8">
        <v>76</v>
      </c>
      <c r="D86" s="25">
        <v>45994</v>
      </c>
      <c r="E86" s="26">
        <v>1391.5</v>
      </c>
      <c r="F86" s="26">
        <v>1000.5</v>
      </c>
      <c r="G86" s="26">
        <v>2124.4</v>
      </c>
      <c r="H86" s="26">
        <v>1578.7</v>
      </c>
      <c r="I86" s="52">
        <v>1566.1</v>
      </c>
      <c r="J86" s="44">
        <v>23822.25</v>
      </c>
      <c r="L86" s="58">
        <v>76</v>
      </c>
      <c r="M86" s="47">
        <f t="shared" si="9"/>
        <v>-1.3384175197974425E-2</v>
      </c>
      <c r="N86" s="47">
        <f t="shared" si="10"/>
        <v>-1.0752251506002453E-2</v>
      </c>
      <c r="O86" s="47">
        <f t="shared" si="11"/>
        <v>-6.7066798402524094E-3</v>
      </c>
      <c r="P86" s="47">
        <f t="shared" si="12"/>
        <v>-1.127508202224912E-2</v>
      </c>
      <c r="Q86" s="47">
        <f t="shared" si="13"/>
        <v>8.9354103468769291E-4</v>
      </c>
      <c r="R86" s="57"/>
    </row>
    <row r="87" spans="3:18" x14ac:dyDescent="0.3">
      <c r="C87" s="8">
        <v>77</v>
      </c>
      <c r="D87" s="25">
        <v>45993</v>
      </c>
      <c r="E87" s="26">
        <v>1373</v>
      </c>
      <c r="F87" s="27">
        <v>989.8</v>
      </c>
      <c r="G87" s="26">
        <v>2110.1999999999998</v>
      </c>
      <c r="H87" s="26">
        <v>1561</v>
      </c>
      <c r="I87" s="52">
        <v>1567.5</v>
      </c>
      <c r="J87" s="44">
        <v>23922.45</v>
      </c>
      <c r="L87" s="56">
        <v>77</v>
      </c>
      <c r="M87" s="47">
        <f t="shared" si="9"/>
        <v>1.2377560215075812E-2</v>
      </c>
      <c r="N87" s="47">
        <f t="shared" si="10"/>
        <v>1.2350174546497488E-2</v>
      </c>
      <c r="O87" s="47">
        <f t="shared" si="11"/>
        <v>-3.0374964028178713E-3</v>
      </c>
      <c r="P87" s="47">
        <f t="shared" si="12"/>
        <v>1.9200005898244268E-3</v>
      </c>
      <c r="Q87" s="47">
        <f t="shared" si="13"/>
        <v>-2.6190567208456343E-3</v>
      </c>
      <c r="R87" s="57"/>
    </row>
    <row r="88" spans="3:18" x14ac:dyDescent="0.3">
      <c r="C88" s="8">
        <v>78</v>
      </c>
      <c r="D88" s="25">
        <v>45992</v>
      </c>
      <c r="E88" s="26">
        <v>1390.1</v>
      </c>
      <c r="F88" s="26">
        <v>1002.1</v>
      </c>
      <c r="G88" s="26">
        <v>2103.8000000000002</v>
      </c>
      <c r="H88" s="26">
        <v>1564</v>
      </c>
      <c r="I88" s="52">
        <v>1563.4</v>
      </c>
      <c r="J88" s="44">
        <v>23933.200000000001</v>
      </c>
      <c r="L88" s="58">
        <v>78</v>
      </c>
      <c r="M88" s="47">
        <f t="shared" si="9"/>
        <v>-9.3562207696123003E-4</v>
      </c>
      <c r="N88" s="47">
        <f t="shared" si="10"/>
        <v>5.4734674141719069E-3</v>
      </c>
      <c r="O88" s="47">
        <f t="shared" si="11"/>
        <v>-1.6244936391428929E-2</v>
      </c>
      <c r="P88" s="47">
        <f t="shared" si="12"/>
        <v>-2.4967203520526947E-3</v>
      </c>
      <c r="Q88" s="47">
        <f t="shared" si="13"/>
        <v>4.1489862600418209E-3</v>
      </c>
      <c r="R88" s="57"/>
    </row>
    <row r="89" spans="3:18" x14ac:dyDescent="0.3">
      <c r="C89" s="8">
        <v>79</v>
      </c>
      <c r="D89" s="25">
        <v>45989</v>
      </c>
      <c r="E89" s="26">
        <v>1388.8</v>
      </c>
      <c r="F89" s="26">
        <v>1007.6</v>
      </c>
      <c r="G89" s="26">
        <v>2069.9</v>
      </c>
      <c r="H89" s="26">
        <v>1560.1</v>
      </c>
      <c r="I89" s="52">
        <v>1569.9</v>
      </c>
      <c r="J89" s="44">
        <v>23947.75</v>
      </c>
      <c r="L89" s="56">
        <v>79</v>
      </c>
      <c r="M89" s="47">
        <f t="shared" si="9"/>
        <v>2.4451648284805252E-3</v>
      </c>
      <c r="N89" s="47">
        <f t="shared" si="10"/>
        <v>1.8838932744369957E-3</v>
      </c>
      <c r="O89" s="47">
        <f t="shared" si="11"/>
        <v>8.3710678381158816E-3</v>
      </c>
      <c r="P89" s="47">
        <f t="shared" si="12"/>
        <v>4.030071023042316E-3</v>
      </c>
      <c r="Q89" s="47">
        <f t="shared" si="13"/>
        <v>-1.9424330810398738E-2</v>
      </c>
      <c r="R89" s="57"/>
    </row>
    <row r="90" spans="3:18" x14ac:dyDescent="0.3">
      <c r="C90" s="8">
        <v>80</v>
      </c>
      <c r="D90" s="25">
        <v>45988</v>
      </c>
      <c r="E90" s="26">
        <v>1392.2</v>
      </c>
      <c r="F90" s="26">
        <v>1009.5</v>
      </c>
      <c r="G90" s="26">
        <v>2087.3000000000002</v>
      </c>
      <c r="H90" s="26">
        <v>1566.4</v>
      </c>
      <c r="I90" s="52">
        <v>1539.7</v>
      </c>
      <c r="J90" s="44">
        <v>23955.200000000001</v>
      </c>
      <c r="L90" s="58">
        <v>80</v>
      </c>
      <c r="M90" s="47">
        <f t="shared" si="9"/>
        <v>-1.243149863389446E-2</v>
      </c>
      <c r="N90" s="47">
        <f t="shared" si="10"/>
        <v>-5.5627440554112759E-3</v>
      </c>
      <c r="O90" s="47">
        <f t="shared" si="11"/>
        <v>2.395152223373514E-4</v>
      </c>
      <c r="P90" s="47">
        <f t="shared" si="12"/>
        <v>-5.441232257862999E-3</v>
      </c>
      <c r="Q90" s="47">
        <f t="shared" si="13"/>
        <v>-2.4710638142904622E-3</v>
      </c>
      <c r="R90" s="57"/>
    </row>
    <row r="91" spans="3:18" x14ac:dyDescent="0.3">
      <c r="C91" s="8">
        <v>81</v>
      </c>
      <c r="D91" s="25">
        <v>45987</v>
      </c>
      <c r="E91" s="26">
        <v>1375</v>
      </c>
      <c r="F91" s="26">
        <v>1003.9</v>
      </c>
      <c r="G91" s="26">
        <v>2087.8000000000002</v>
      </c>
      <c r="H91" s="26">
        <v>1557.9</v>
      </c>
      <c r="I91" s="52">
        <v>1535.9</v>
      </c>
      <c r="J91" s="44">
        <v>23655.05</v>
      </c>
      <c r="L91" s="56">
        <v>81</v>
      </c>
      <c r="M91" s="47">
        <f t="shared" si="9"/>
        <v>-1.2587988233124981E-2</v>
      </c>
      <c r="N91" s="47">
        <f t="shared" si="10"/>
        <v>-1.4144791179695259E-2</v>
      </c>
      <c r="O91" s="47">
        <f t="shared" si="11"/>
        <v>5.2072254291772868E-3</v>
      </c>
      <c r="P91" s="47">
        <f t="shared" si="12"/>
        <v>-1.7678945142562304E-2</v>
      </c>
      <c r="Q91" s="47">
        <f t="shared" si="13"/>
        <v>-1.2378254943811345E-3</v>
      </c>
      <c r="R91" s="57"/>
    </row>
    <row r="92" spans="3:18" x14ac:dyDescent="0.3">
      <c r="C92" s="8">
        <v>82</v>
      </c>
      <c r="D92" s="25">
        <v>45986</v>
      </c>
      <c r="E92" s="26">
        <v>1357.8</v>
      </c>
      <c r="F92" s="27">
        <v>989.8</v>
      </c>
      <c r="G92" s="26">
        <v>2098.6999999999998</v>
      </c>
      <c r="H92" s="26">
        <v>1530.6</v>
      </c>
      <c r="I92" s="52">
        <v>1534</v>
      </c>
      <c r="J92" s="44">
        <v>23674.55</v>
      </c>
      <c r="L92" s="58">
        <v>82</v>
      </c>
      <c r="M92" s="47">
        <f t="shared" si="9"/>
        <v>7.7764312359030682E-3</v>
      </c>
      <c r="N92" s="47">
        <f t="shared" si="10"/>
        <v>9.4020150095123923E-3</v>
      </c>
      <c r="O92" s="47">
        <f t="shared" si="11"/>
        <v>3.4248237823572736E-3</v>
      </c>
      <c r="P92" s="47">
        <f t="shared" si="12"/>
        <v>1.1303959773851726E-2</v>
      </c>
      <c r="Q92" s="47">
        <f t="shared" si="13"/>
        <v>8.1802702477336269E-3</v>
      </c>
      <c r="R92" s="57"/>
    </row>
    <row r="93" spans="3:18" x14ac:dyDescent="0.3">
      <c r="C93" s="8">
        <v>83</v>
      </c>
      <c r="D93" s="25">
        <v>45985</v>
      </c>
      <c r="E93" s="26">
        <v>1368.4</v>
      </c>
      <c r="F93" s="27">
        <v>999.15</v>
      </c>
      <c r="G93" s="26">
        <v>2105.9</v>
      </c>
      <c r="H93" s="26">
        <v>1548</v>
      </c>
      <c r="I93" s="52">
        <v>1546.6</v>
      </c>
      <c r="J93" s="44">
        <v>23790.25</v>
      </c>
      <c r="L93" s="56">
        <v>83</v>
      </c>
      <c r="M93" s="47">
        <f t="shared" si="9"/>
        <v>8.0353559968317299E-4</v>
      </c>
      <c r="N93" s="47">
        <f t="shared" si="10"/>
        <v>-1.1015422704065028E-3</v>
      </c>
      <c r="O93" s="47">
        <f t="shared" si="11"/>
        <v>-6.0967085724322407E-3</v>
      </c>
      <c r="P93" s="47">
        <f t="shared" si="12"/>
        <v>-1.9398648178265917E-3</v>
      </c>
      <c r="Q93" s="47">
        <f t="shared" si="13"/>
        <v>0</v>
      </c>
      <c r="R93" s="57"/>
    </row>
    <row r="94" spans="3:18" x14ac:dyDescent="0.3">
      <c r="C94" s="8">
        <v>84</v>
      </c>
      <c r="D94" s="25">
        <v>45982</v>
      </c>
      <c r="E94" s="26">
        <v>1369.5</v>
      </c>
      <c r="F94" s="27">
        <v>998.05</v>
      </c>
      <c r="G94" s="26">
        <v>2093.1</v>
      </c>
      <c r="H94" s="26">
        <v>1545</v>
      </c>
      <c r="I94" s="52">
        <v>1546.6</v>
      </c>
      <c r="J94" s="44">
        <v>23975.45</v>
      </c>
      <c r="L94" s="58">
        <v>84</v>
      </c>
      <c r="M94" s="47">
        <f t="shared" si="9"/>
        <v>9.8093429616254411E-3</v>
      </c>
      <c r="N94" s="47">
        <f t="shared" si="10"/>
        <v>1.0762972003795446E-2</v>
      </c>
      <c r="O94" s="47">
        <f t="shared" si="11"/>
        <v>4.6711238413577475E-3</v>
      </c>
      <c r="P94" s="47">
        <f t="shared" si="12"/>
        <v>-5.5168077613064808E-3</v>
      </c>
      <c r="Q94" s="47">
        <f t="shared" si="13"/>
        <v>1.6151439373821796E-3</v>
      </c>
      <c r="R94" s="57"/>
    </row>
    <row r="95" spans="3:18" x14ac:dyDescent="0.3">
      <c r="C95" s="8">
        <v>85</v>
      </c>
      <c r="D95" s="25">
        <v>45981</v>
      </c>
      <c r="E95" s="26">
        <v>1383</v>
      </c>
      <c r="F95" s="26">
        <v>1008.85</v>
      </c>
      <c r="G95" s="26">
        <v>2102.9</v>
      </c>
      <c r="H95" s="26">
        <v>1536.5</v>
      </c>
      <c r="I95" s="52">
        <v>1549.1</v>
      </c>
      <c r="J95" s="44">
        <v>23906.3</v>
      </c>
      <c r="L95" s="56">
        <v>85</v>
      </c>
      <c r="M95" s="47">
        <f t="shared" si="9"/>
        <v>7.230396590390802E-5</v>
      </c>
      <c r="N95" s="47">
        <f t="shared" si="10"/>
        <v>-1.6389713802100317E-2</v>
      </c>
      <c r="O95" s="47">
        <f t="shared" si="11"/>
        <v>-1.1093691930783113E-2</v>
      </c>
      <c r="P95" s="47">
        <f t="shared" si="12"/>
        <v>2.9893445707923497E-3</v>
      </c>
      <c r="Q95" s="47">
        <f t="shared" si="13"/>
        <v>-1.9358597043195931E-2</v>
      </c>
      <c r="R95" s="57"/>
    </row>
    <row r="96" spans="3:18" x14ac:dyDescent="0.3">
      <c r="C96" s="8">
        <v>86</v>
      </c>
      <c r="D96" s="25">
        <v>45980</v>
      </c>
      <c r="E96" s="26">
        <v>1383.1</v>
      </c>
      <c r="F96" s="27">
        <v>992.45</v>
      </c>
      <c r="G96" s="26">
        <v>2079.6999999999998</v>
      </c>
      <c r="H96" s="26">
        <v>1541.1</v>
      </c>
      <c r="I96" s="52">
        <v>1519.4</v>
      </c>
      <c r="J96" s="44">
        <v>23824.65</v>
      </c>
      <c r="L96" s="58">
        <v>86</v>
      </c>
      <c r="M96" s="47">
        <f t="shared" si="9"/>
        <v>-2.9687578373603506E-3</v>
      </c>
      <c r="N96" s="47">
        <f t="shared" si="10"/>
        <v>0</v>
      </c>
      <c r="O96" s="47">
        <f t="shared" si="11"/>
        <v>2.3053657969763514E-3</v>
      </c>
      <c r="P96" s="47">
        <f t="shared" si="12"/>
        <v>-2.1977464748351518E-2</v>
      </c>
      <c r="Q96" s="47">
        <f t="shared" si="13"/>
        <v>0</v>
      </c>
      <c r="R96" s="57"/>
    </row>
    <row r="97" spans="3:18" x14ac:dyDescent="0.3">
      <c r="C97" s="8">
        <v>87</v>
      </c>
      <c r="D97" s="25">
        <v>45979</v>
      </c>
      <c r="E97" s="26">
        <v>1379</v>
      </c>
      <c r="F97" s="27">
        <v>992.45</v>
      </c>
      <c r="G97" s="26">
        <v>2084.5</v>
      </c>
      <c r="H97" s="26">
        <v>1507.6</v>
      </c>
      <c r="I97" s="52">
        <v>1519.4</v>
      </c>
      <c r="J97" s="44">
        <v>23954.55</v>
      </c>
      <c r="L97" s="56">
        <v>87</v>
      </c>
      <c r="M97" s="47">
        <f t="shared" si="9"/>
        <v>-4.0691816067257433E-3</v>
      </c>
      <c r="N97" s="47">
        <f t="shared" si="10"/>
        <v>2.1640128220515409E-3</v>
      </c>
      <c r="O97" s="47">
        <f t="shared" si="11"/>
        <v>-4.4714837586722041E-3</v>
      </c>
      <c r="P97" s="47">
        <f t="shared" si="12"/>
        <v>-1.4161893333406164E-2</v>
      </c>
      <c r="Q97" s="47">
        <f t="shared" si="13"/>
        <v>-3.2913142514799431E-4</v>
      </c>
      <c r="R97" s="57"/>
    </row>
    <row r="98" spans="3:18" x14ac:dyDescent="0.3">
      <c r="C98" s="8">
        <v>88</v>
      </c>
      <c r="D98" s="25">
        <v>45979</v>
      </c>
      <c r="E98" s="26">
        <v>1373.4</v>
      </c>
      <c r="F98" s="27">
        <v>994.6</v>
      </c>
      <c r="G98" s="26">
        <v>2075.1999999999998</v>
      </c>
      <c r="H98" s="26">
        <v>1486.4</v>
      </c>
      <c r="I98" s="52">
        <v>1518.9</v>
      </c>
      <c r="J98" s="44">
        <v>23836.35</v>
      </c>
      <c r="L98" s="58">
        <v>88</v>
      </c>
      <c r="M98" s="47">
        <f t="shared" si="9"/>
        <v>4.0691816067257493E-3</v>
      </c>
      <c r="N98" s="47">
        <f t="shared" si="10"/>
        <v>1.9586677281083569E-3</v>
      </c>
      <c r="O98" s="47">
        <f t="shared" si="11"/>
        <v>5.6221766986056044E-3</v>
      </c>
      <c r="P98" s="47">
        <f t="shared" si="12"/>
        <v>1.0972945640239765E-2</v>
      </c>
      <c r="Q98" s="47">
        <f t="shared" si="13"/>
        <v>-3.9510075583122888E-4</v>
      </c>
      <c r="R98" s="57"/>
    </row>
    <row r="99" spans="3:18" x14ac:dyDescent="0.3">
      <c r="C99" s="8">
        <v>89</v>
      </c>
      <c r="D99" s="25">
        <v>45978</v>
      </c>
      <c r="E99" s="26">
        <v>1379</v>
      </c>
      <c r="F99" s="27">
        <v>996.55</v>
      </c>
      <c r="G99" s="26">
        <v>2086.9</v>
      </c>
      <c r="H99" s="26">
        <v>1502.8</v>
      </c>
      <c r="I99" s="52">
        <v>1518.3</v>
      </c>
      <c r="J99" s="44">
        <v>23816</v>
      </c>
      <c r="L99" s="56">
        <v>89</v>
      </c>
      <c r="M99" s="47">
        <f t="shared" si="9"/>
        <v>-4.3604720253307121E-3</v>
      </c>
      <c r="N99" s="47">
        <f t="shared" si="10"/>
        <v>-6.9984929304684456E-3</v>
      </c>
      <c r="O99" s="47">
        <f t="shared" si="11"/>
        <v>2.7753869858388857E-3</v>
      </c>
      <c r="P99" s="47">
        <f t="shared" si="12"/>
        <v>2.5620530325348046E-2</v>
      </c>
      <c r="Q99" s="47">
        <f t="shared" si="13"/>
        <v>3.9510075583117885E-4</v>
      </c>
      <c r="R99" s="57"/>
    </row>
    <row r="100" spans="3:18" x14ac:dyDescent="0.3">
      <c r="C100" s="8">
        <v>90</v>
      </c>
      <c r="D100" s="25">
        <v>45975</v>
      </c>
      <c r="E100" s="26">
        <v>1373</v>
      </c>
      <c r="F100" s="27">
        <v>989.6</v>
      </c>
      <c r="G100" s="26">
        <v>2092.6999999999998</v>
      </c>
      <c r="H100" s="26">
        <v>1541.8</v>
      </c>
      <c r="I100" s="52">
        <v>1518.9</v>
      </c>
      <c r="J100" s="44">
        <v>23836.9</v>
      </c>
      <c r="L100" s="58">
        <v>90</v>
      </c>
      <c r="M100" s="47">
        <f t="shared" si="9"/>
        <v>9.3516213067857904E-3</v>
      </c>
      <c r="N100" s="47">
        <f t="shared" si="10"/>
        <v>-2.9854544628433385E-3</v>
      </c>
      <c r="O100" s="47">
        <f t="shared" si="11"/>
        <v>-2.1047604038933001E-3</v>
      </c>
      <c r="P100" s="47">
        <f t="shared" si="12"/>
        <v>6.4005390642764854E-3</v>
      </c>
      <c r="Q100" s="47">
        <f t="shared" si="13"/>
        <v>-5.2808888981779002E-3</v>
      </c>
      <c r="R100" s="57"/>
    </row>
    <row r="101" spans="3:18" x14ac:dyDescent="0.3">
      <c r="C101" s="8">
        <v>91</v>
      </c>
      <c r="D101" s="25">
        <v>45974</v>
      </c>
      <c r="E101" s="26">
        <v>1385.9</v>
      </c>
      <c r="F101" s="27">
        <v>986.65</v>
      </c>
      <c r="G101" s="26">
        <v>2088.3000000000002</v>
      </c>
      <c r="H101" s="26">
        <v>1551.7</v>
      </c>
      <c r="I101" s="52">
        <v>1510.9</v>
      </c>
      <c r="J101" s="44">
        <v>23682.65</v>
      </c>
      <c r="L101" s="56">
        <v>91</v>
      </c>
      <c r="M101" s="47">
        <f t="shared" si="9"/>
        <v>-1.9674199148305097E-2</v>
      </c>
      <c r="N101" s="47">
        <f t="shared" si="10"/>
        <v>2.8843984271856283E-3</v>
      </c>
      <c r="O101" s="47">
        <f t="shared" si="11"/>
        <v>-2.4451648284805152E-3</v>
      </c>
      <c r="P101" s="47">
        <f t="shared" si="12"/>
        <v>-1.3887309492447779E-2</v>
      </c>
      <c r="Q101" s="47">
        <f t="shared" si="13"/>
        <v>3.9703547371749271E-4</v>
      </c>
      <c r="R101" s="57"/>
    </row>
    <row r="102" spans="3:18" x14ac:dyDescent="0.3">
      <c r="C102" s="8">
        <v>92</v>
      </c>
      <c r="D102" s="25">
        <v>45973</v>
      </c>
      <c r="E102" s="26">
        <v>1358.9</v>
      </c>
      <c r="F102" s="27">
        <v>989.5</v>
      </c>
      <c r="G102" s="26">
        <v>2083.1999999999998</v>
      </c>
      <c r="H102" s="26">
        <v>1530.3</v>
      </c>
      <c r="I102" s="52">
        <v>1511.5</v>
      </c>
      <c r="J102" s="44">
        <v>23596.9</v>
      </c>
      <c r="L102" s="58">
        <v>92</v>
      </c>
      <c r="M102" s="47">
        <f t="shared" si="9"/>
        <v>-4.4163109800678129E-4</v>
      </c>
      <c r="N102" s="47">
        <f t="shared" si="10"/>
        <v>2.2208771494589287E-3</v>
      </c>
      <c r="O102" s="47">
        <f t="shared" si="11"/>
        <v>6.4118120042222886E-3</v>
      </c>
      <c r="P102" s="47">
        <f t="shared" si="12"/>
        <v>-1.1038945135217212E-2</v>
      </c>
      <c r="Q102" s="47">
        <f t="shared" si="13"/>
        <v>-1.2047135617911403E-2</v>
      </c>
      <c r="R102" s="57"/>
    </row>
    <row r="103" spans="3:18" x14ac:dyDescent="0.3">
      <c r="C103" s="8">
        <v>93</v>
      </c>
      <c r="D103" s="25">
        <v>45972</v>
      </c>
      <c r="E103" s="26">
        <v>1358.3</v>
      </c>
      <c r="F103" s="27">
        <v>991.7</v>
      </c>
      <c r="G103" s="26">
        <v>2096.6</v>
      </c>
      <c r="H103" s="26">
        <v>1513.5</v>
      </c>
      <c r="I103" s="52">
        <v>1493.4</v>
      </c>
      <c r="J103" s="44">
        <v>23521.5</v>
      </c>
      <c r="L103" s="56">
        <v>93</v>
      </c>
      <c r="M103" s="47">
        <f t="shared" si="9"/>
        <v>-1.9552345728110623E-2</v>
      </c>
      <c r="N103" s="47">
        <f t="shared" si="10"/>
        <v>-9.5238815112555896E-3</v>
      </c>
      <c r="O103" s="47">
        <f t="shared" si="11"/>
        <v>2.6674303707816538E-3</v>
      </c>
      <c r="P103" s="47">
        <f t="shared" si="12"/>
        <v>-3.140987020906378E-2</v>
      </c>
      <c r="Q103" s="47">
        <f t="shared" si="13"/>
        <v>-1.0365577093454297E-2</v>
      </c>
      <c r="R103" s="57"/>
    </row>
    <row r="104" spans="3:18" x14ac:dyDescent="0.3">
      <c r="C104" s="8">
        <v>94</v>
      </c>
      <c r="D104" s="25">
        <v>45971</v>
      </c>
      <c r="E104" s="26">
        <v>1332</v>
      </c>
      <c r="F104" s="27">
        <v>982.3</v>
      </c>
      <c r="G104" s="26">
        <v>2102.1999999999998</v>
      </c>
      <c r="H104" s="26">
        <v>1466.7</v>
      </c>
      <c r="I104" s="52">
        <v>1478</v>
      </c>
      <c r="J104" s="44">
        <v>23513.15</v>
      </c>
      <c r="L104" s="58">
        <v>94</v>
      </c>
      <c r="M104" s="47">
        <f t="shared" si="9"/>
        <v>1.1940440371917849E-2</v>
      </c>
      <c r="N104" s="47">
        <f t="shared" si="10"/>
        <v>2.2371373983564205E-3</v>
      </c>
      <c r="O104" s="47">
        <f t="shared" si="11"/>
        <v>5.3609256175906374E-3</v>
      </c>
      <c r="P104" s="47">
        <f t="shared" si="12"/>
        <v>6.8626054958780477E-3</v>
      </c>
      <c r="Q104" s="47">
        <f t="shared" si="13"/>
        <v>7.6163883836748332E-3</v>
      </c>
      <c r="R104" s="57"/>
    </row>
    <row r="105" spans="3:18" x14ac:dyDescent="0.3">
      <c r="C105" s="8">
        <v>95</v>
      </c>
      <c r="D105" s="25">
        <v>45971</v>
      </c>
      <c r="E105" s="26">
        <v>1348</v>
      </c>
      <c r="F105" s="27">
        <v>984.5</v>
      </c>
      <c r="G105" s="26">
        <v>2113.5</v>
      </c>
      <c r="H105" s="26">
        <v>1476.8</v>
      </c>
      <c r="I105" s="52">
        <v>1489.3</v>
      </c>
      <c r="J105" s="44">
        <v>23675.45</v>
      </c>
      <c r="L105" s="56">
        <v>95</v>
      </c>
      <c r="M105" s="47">
        <f t="shared" si="9"/>
        <v>-3.7160949490148139E-3</v>
      </c>
      <c r="N105" s="47">
        <f t="shared" si="10"/>
        <v>1.5234999902505054E-4</v>
      </c>
      <c r="O105" s="47">
        <f t="shared" si="11"/>
        <v>1.1151220076771509E-2</v>
      </c>
      <c r="P105" s="47">
        <f t="shared" si="12"/>
        <v>-6.0447767854000072E-3</v>
      </c>
      <c r="Q105" s="47">
        <f t="shared" si="13"/>
        <v>4.5555113283646687E-3</v>
      </c>
      <c r="R105" s="57"/>
    </row>
    <row r="106" spans="3:18" x14ac:dyDescent="0.3">
      <c r="C106" s="8">
        <v>96</v>
      </c>
      <c r="D106" s="25">
        <v>45968</v>
      </c>
      <c r="E106" s="26">
        <v>1343</v>
      </c>
      <c r="F106" s="27">
        <v>984.65</v>
      </c>
      <c r="G106" s="26">
        <v>2137.1999999999998</v>
      </c>
      <c r="H106" s="26">
        <v>1467.9</v>
      </c>
      <c r="I106" s="52">
        <v>1496.1</v>
      </c>
      <c r="J106" s="44">
        <v>23810.7</v>
      </c>
      <c r="L106" s="58">
        <v>96</v>
      </c>
      <c r="M106" s="47">
        <f t="shared" si="9"/>
        <v>-1.697119654419961E-2</v>
      </c>
      <c r="N106" s="47">
        <f t="shared" si="10"/>
        <v>6.0916799690765731E-4</v>
      </c>
      <c r="O106" s="47">
        <f t="shared" si="11"/>
        <v>6.2038121401747142E-3</v>
      </c>
      <c r="P106" s="47">
        <f t="shared" si="12"/>
        <v>1.1918607939474609E-2</v>
      </c>
      <c r="Q106" s="47">
        <f t="shared" si="13"/>
        <v>-1.5492698399293908E-2</v>
      </c>
      <c r="R106" s="57"/>
    </row>
    <row r="107" spans="3:18" x14ac:dyDescent="0.3">
      <c r="C107" s="8">
        <v>97</v>
      </c>
      <c r="D107" s="25">
        <v>45967</v>
      </c>
      <c r="E107" s="26">
        <v>1320.4</v>
      </c>
      <c r="F107" s="27">
        <v>985.25</v>
      </c>
      <c r="G107" s="26">
        <v>2150.5</v>
      </c>
      <c r="H107" s="26">
        <v>1485.5</v>
      </c>
      <c r="I107" s="52">
        <v>1473.1</v>
      </c>
      <c r="J107" s="44">
        <v>23710.400000000001</v>
      </c>
      <c r="L107" s="56">
        <v>97</v>
      </c>
      <c r="M107" s="47">
        <f t="shared" si="9"/>
        <v>1.2418780010038995E-2</v>
      </c>
      <c r="N107" s="47">
        <f t="shared" si="10"/>
        <v>7.4827185679748861E-3</v>
      </c>
      <c r="O107" s="47">
        <f t="shared" si="11"/>
        <v>4.7781502546149924E-3</v>
      </c>
      <c r="P107" s="47">
        <f t="shared" si="12"/>
        <v>-2.1564803828483777E-3</v>
      </c>
      <c r="Q107" s="47">
        <f t="shared" si="13"/>
        <v>7.8437078050574999E-3</v>
      </c>
      <c r="R107" s="57"/>
    </row>
    <row r="108" spans="3:18" x14ac:dyDescent="0.3">
      <c r="C108" s="8">
        <v>98</v>
      </c>
      <c r="D108" s="25">
        <v>45965</v>
      </c>
      <c r="E108" s="26">
        <v>1336.9</v>
      </c>
      <c r="F108" s="27">
        <v>992.65</v>
      </c>
      <c r="G108" s="26">
        <v>2160.8000000000002</v>
      </c>
      <c r="H108" s="26">
        <v>1482.3</v>
      </c>
      <c r="I108" s="52">
        <v>1484.7</v>
      </c>
      <c r="J108" s="44">
        <v>23841.3</v>
      </c>
      <c r="L108" s="58">
        <v>98</v>
      </c>
      <c r="M108" s="47">
        <f t="shared" si="9"/>
        <v>7.0808628875193708E-3</v>
      </c>
      <c r="N108" s="47">
        <f t="shared" si="10"/>
        <v>-5.4041900256840006E-3</v>
      </c>
      <c r="O108" s="47">
        <f t="shared" si="11"/>
        <v>-5.6620562459639067E-3</v>
      </c>
      <c r="P108" s="47">
        <f t="shared" si="12"/>
        <v>7.7282734031522233E-3</v>
      </c>
      <c r="Q108" s="47">
        <f t="shared" si="13"/>
        <v>1.1443574336240368E-3</v>
      </c>
      <c r="R108" s="57"/>
    </row>
    <row r="109" spans="3:18" x14ac:dyDescent="0.3">
      <c r="C109" s="8">
        <v>99</v>
      </c>
      <c r="D109" s="25">
        <v>45964</v>
      </c>
      <c r="E109" s="26">
        <v>1346.4</v>
      </c>
      <c r="F109" s="27">
        <v>987.3</v>
      </c>
      <c r="G109" s="26">
        <v>2148.6</v>
      </c>
      <c r="H109" s="26">
        <v>1493.8</v>
      </c>
      <c r="I109" s="52">
        <v>1486.4</v>
      </c>
      <c r="J109" s="44">
        <v>23952.400000000001</v>
      </c>
      <c r="L109" s="56">
        <v>99</v>
      </c>
      <c r="M109" s="47">
        <f t="shared" si="9"/>
        <v>-8.1732738509914427E-4</v>
      </c>
      <c r="N109" s="47">
        <f t="shared" si="10"/>
        <v>1.0929621001258721E-2</v>
      </c>
      <c r="O109" s="47">
        <f t="shared" si="11"/>
        <v>1.7714274444325873E-2</v>
      </c>
      <c r="P109" s="47">
        <f t="shared" si="12"/>
        <v>1.1051307468270086E-2</v>
      </c>
      <c r="Q109" s="47">
        <f t="shared" si="13"/>
        <v>-7.3601736765800526E-3</v>
      </c>
      <c r="R109" s="57"/>
    </row>
    <row r="110" spans="3:18" x14ac:dyDescent="0.3">
      <c r="C110" s="8">
        <v>100</v>
      </c>
      <c r="D110" s="25">
        <v>45961</v>
      </c>
      <c r="E110" s="26">
        <v>1345.3</v>
      </c>
      <c r="F110" s="27">
        <v>998.15</v>
      </c>
      <c r="G110" s="26">
        <v>2187</v>
      </c>
      <c r="H110" s="26">
        <v>1510.4</v>
      </c>
      <c r="I110" s="52">
        <v>1475.5</v>
      </c>
      <c r="J110" s="44">
        <v>23812.55</v>
      </c>
      <c r="L110" s="58">
        <v>100</v>
      </c>
      <c r="M110" s="47">
        <f t="shared" si="9"/>
        <v>1.2630813856981369E-2</v>
      </c>
      <c r="N110" s="47">
        <f t="shared" si="10"/>
        <v>0</v>
      </c>
      <c r="O110" s="47">
        <f t="shared" si="11"/>
        <v>1.7495800492410542E-2</v>
      </c>
      <c r="P110" s="47">
        <f t="shared" si="12"/>
        <v>-6.7760838557003773E-3</v>
      </c>
      <c r="Q110" s="47">
        <f t="shared" si="13"/>
        <v>8.7719860728370409E-3</v>
      </c>
      <c r="R110" s="57"/>
    </row>
    <row r="111" spans="3:18" x14ac:dyDescent="0.3">
      <c r="C111" s="8">
        <v>101</v>
      </c>
      <c r="D111" s="25">
        <v>45960</v>
      </c>
      <c r="E111" s="26">
        <v>1362.4</v>
      </c>
      <c r="F111" s="27">
        <v>998.15</v>
      </c>
      <c r="G111" s="26">
        <v>2225.6</v>
      </c>
      <c r="H111" s="26">
        <v>1500.2</v>
      </c>
      <c r="I111" s="52">
        <v>1488.5</v>
      </c>
      <c r="J111" s="44">
        <v>23840.9</v>
      </c>
      <c r="L111" s="56">
        <v>101</v>
      </c>
      <c r="M111" s="47">
        <f t="shared" si="9"/>
        <v>5.8548176614316204E-3</v>
      </c>
      <c r="N111" s="47">
        <f t="shared" si="10"/>
        <v>9.6710624156061149E-3</v>
      </c>
      <c r="O111" s="47">
        <f t="shared" si="11"/>
        <v>-1.2933748784568242E-2</v>
      </c>
      <c r="P111" s="47">
        <f t="shared" si="12"/>
        <v>2.8621845345639827E-3</v>
      </c>
      <c r="Q111" s="47">
        <f t="shared" si="13"/>
        <v>1.0492293936471693E-2</v>
      </c>
      <c r="R111" s="57"/>
    </row>
    <row r="112" spans="3:18" x14ac:dyDescent="0.3">
      <c r="C112" s="8">
        <v>102</v>
      </c>
      <c r="D112" s="25">
        <v>45959</v>
      </c>
      <c r="E112" s="26">
        <v>1370.4</v>
      </c>
      <c r="F112" s="26">
        <v>1007.85</v>
      </c>
      <c r="G112" s="26">
        <v>2197</v>
      </c>
      <c r="H112" s="26">
        <v>1504.5</v>
      </c>
      <c r="I112" s="52">
        <v>1504.2</v>
      </c>
      <c r="J112" s="44">
        <v>23686.6</v>
      </c>
      <c r="L112" s="58">
        <v>102</v>
      </c>
      <c r="M112" s="47">
        <f t="shared" si="9"/>
        <v>-5.3411504331128887E-3</v>
      </c>
      <c r="N112" s="47">
        <f t="shared" si="10"/>
        <v>-4.2756354287667034E-3</v>
      </c>
      <c r="O112" s="47">
        <f t="shared" si="11"/>
        <v>7.6177025669135314E-3</v>
      </c>
      <c r="P112" s="47">
        <f t="shared" si="12"/>
        <v>1.3796053660038405E-2</v>
      </c>
      <c r="Q112" s="47">
        <f t="shared" si="13"/>
        <v>-1.1567779689125059E-2</v>
      </c>
      <c r="R112" s="57"/>
    </row>
    <row r="113" spans="3:18" x14ac:dyDescent="0.3">
      <c r="C113" s="8">
        <v>103</v>
      </c>
      <c r="D113" s="25">
        <v>45958</v>
      </c>
      <c r="E113" s="26">
        <v>1363.1</v>
      </c>
      <c r="F113" s="26">
        <v>1003.55</v>
      </c>
      <c r="G113" s="26">
        <v>2213.8000000000002</v>
      </c>
      <c r="H113" s="26">
        <v>1525.4</v>
      </c>
      <c r="I113" s="52">
        <v>1486.9</v>
      </c>
      <c r="J113" s="44">
        <v>23755.9</v>
      </c>
      <c r="L113" s="56">
        <v>103</v>
      </c>
      <c r="M113" s="47">
        <f t="shared" si="9"/>
        <v>1.05813370966689E-2</v>
      </c>
      <c r="N113" s="47">
        <f t="shared" si="10"/>
        <v>-5.9805633479534154E-4</v>
      </c>
      <c r="O113" s="47">
        <f t="shared" si="11"/>
        <v>-3.6202410794770644E-3</v>
      </c>
      <c r="P113" s="47">
        <f t="shared" si="12"/>
        <v>2.0301916007510073E-3</v>
      </c>
      <c r="Q113" s="47">
        <f t="shared" si="13"/>
        <v>-1.8848878014050966E-3</v>
      </c>
      <c r="R113" s="57"/>
    </row>
    <row r="114" spans="3:18" x14ac:dyDescent="0.3">
      <c r="C114" s="8">
        <v>104</v>
      </c>
      <c r="D114" s="25">
        <v>45957</v>
      </c>
      <c r="E114" s="26">
        <v>1377.6</v>
      </c>
      <c r="F114" s="26">
        <v>1002.95</v>
      </c>
      <c r="G114" s="26">
        <v>2205.8000000000002</v>
      </c>
      <c r="H114" s="26">
        <v>1528.5</v>
      </c>
      <c r="I114" s="52">
        <v>1484.1</v>
      </c>
      <c r="J114" s="44">
        <v>23759.200000000001</v>
      </c>
      <c r="L114" s="58">
        <v>104</v>
      </c>
      <c r="M114" s="47">
        <f t="shared" si="9"/>
        <v>7.2587377087125876E-5</v>
      </c>
      <c r="N114" s="47">
        <f t="shared" si="10"/>
        <v>-8.2094869636685965E-3</v>
      </c>
      <c r="O114" s="47">
        <f t="shared" si="11"/>
        <v>-1.8135654746846062E-4</v>
      </c>
      <c r="P114" s="47">
        <f t="shared" si="12"/>
        <v>0</v>
      </c>
      <c r="Q114" s="47">
        <f t="shared" si="13"/>
        <v>-2.2142131562857367E-2</v>
      </c>
      <c r="R114" s="57"/>
    </row>
    <row r="115" spans="3:18" x14ac:dyDescent="0.3">
      <c r="C115" s="8">
        <v>105</v>
      </c>
      <c r="D115" s="25">
        <v>45954</v>
      </c>
      <c r="E115" s="26">
        <v>1377.7</v>
      </c>
      <c r="F115" s="27">
        <v>994.75</v>
      </c>
      <c r="G115" s="26">
        <v>2205.4</v>
      </c>
      <c r="H115" s="26">
        <v>1528.5</v>
      </c>
      <c r="I115" s="52">
        <v>1451.6</v>
      </c>
      <c r="J115" s="44">
        <v>23716.1</v>
      </c>
      <c r="L115" s="56">
        <v>105</v>
      </c>
      <c r="M115" s="47">
        <f t="shared" si="9"/>
        <v>-1.0213848186765156E-2</v>
      </c>
      <c r="N115" s="47">
        <f t="shared" si="10"/>
        <v>1.4025335343671817E-2</v>
      </c>
      <c r="O115" s="47">
        <f t="shared" si="11"/>
        <v>-2.5627120023296743E-2</v>
      </c>
      <c r="P115" s="47">
        <f t="shared" si="12"/>
        <v>-3.739313982602304E-2</v>
      </c>
      <c r="Q115" s="47">
        <f t="shared" si="13"/>
        <v>-2.2068974474290077E-3</v>
      </c>
      <c r="R115" s="57"/>
    </row>
    <row r="116" spans="3:18" x14ac:dyDescent="0.3">
      <c r="C116" s="8">
        <v>106</v>
      </c>
      <c r="D116" s="25">
        <v>45953</v>
      </c>
      <c r="E116" s="26">
        <v>1363.7</v>
      </c>
      <c r="F116" s="26">
        <v>1008.8</v>
      </c>
      <c r="G116" s="26">
        <v>2149.6</v>
      </c>
      <c r="H116" s="26">
        <v>1472.4</v>
      </c>
      <c r="I116" s="52">
        <v>1448.4</v>
      </c>
      <c r="J116" s="44">
        <v>23598.05</v>
      </c>
      <c r="L116" s="58">
        <v>106</v>
      </c>
      <c r="M116" s="47">
        <f t="shared" si="9"/>
        <v>1.3330131463826873E-2</v>
      </c>
      <c r="N116" s="47">
        <f t="shared" si="10"/>
        <v>-1.0909993643529346E-3</v>
      </c>
      <c r="O116" s="47">
        <f t="shared" si="11"/>
        <v>1.0229228585274151E-3</v>
      </c>
      <c r="P116" s="47">
        <f t="shared" si="12"/>
        <v>-7.8410383663976412E-3</v>
      </c>
      <c r="Q116" s="47">
        <f t="shared" si="13"/>
        <v>1.1532253013173073E-2</v>
      </c>
      <c r="R116" s="57"/>
    </row>
    <row r="117" spans="3:18" x14ac:dyDescent="0.3">
      <c r="C117" s="8">
        <v>107</v>
      </c>
      <c r="D117" s="25">
        <v>45951</v>
      </c>
      <c r="E117" s="26">
        <v>1382</v>
      </c>
      <c r="F117" s="26">
        <v>1007.7</v>
      </c>
      <c r="G117" s="26">
        <v>2151.8000000000002</v>
      </c>
      <c r="H117" s="26">
        <v>1460.9</v>
      </c>
      <c r="I117" s="52">
        <v>1465.2</v>
      </c>
      <c r="J117" s="44">
        <v>23563.8</v>
      </c>
      <c r="L117" s="56">
        <v>107</v>
      </c>
      <c r="M117" s="47">
        <f t="shared" si="9"/>
        <v>5.9878258478823698E-3</v>
      </c>
      <c r="N117" s="47">
        <f t="shared" si="10"/>
        <v>-4.7248490156501319E-3</v>
      </c>
      <c r="O117" s="47">
        <f t="shared" si="11"/>
        <v>1.3940844373039422E-4</v>
      </c>
      <c r="P117" s="47">
        <f t="shared" si="12"/>
        <v>0</v>
      </c>
      <c r="Q117" s="47">
        <f t="shared" si="13"/>
        <v>1.0914052925115757E-3</v>
      </c>
      <c r="R117" s="57"/>
    </row>
    <row r="118" spans="3:18" x14ac:dyDescent="0.3">
      <c r="C118" s="8">
        <v>108</v>
      </c>
      <c r="D118" s="25">
        <v>45950</v>
      </c>
      <c r="E118" s="26">
        <v>1390.3</v>
      </c>
      <c r="F118" s="26">
        <v>1002.95</v>
      </c>
      <c r="G118" s="26">
        <v>2152.1</v>
      </c>
      <c r="H118" s="26">
        <v>1460.9</v>
      </c>
      <c r="I118" s="52">
        <v>1466.8</v>
      </c>
      <c r="J118" s="44">
        <v>23377.35</v>
      </c>
      <c r="L118" s="58">
        <v>108</v>
      </c>
      <c r="M118" s="47">
        <f t="shared" si="9"/>
        <v>3.2759659465203504E-2</v>
      </c>
      <c r="N118" s="47">
        <f t="shared" si="10"/>
        <v>-3.9890302199375083E-4</v>
      </c>
      <c r="O118" s="47">
        <f t="shared" si="11"/>
        <v>-9.2975693555611403E-4</v>
      </c>
      <c r="P118" s="47">
        <f t="shared" si="12"/>
        <v>-1.3645973294152564E-2</v>
      </c>
      <c r="Q118" s="47">
        <f t="shared" si="13"/>
        <v>-3.4682349728547161E-2</v>
      </c>
      <c r="R118" s="57"/>
    </row>
    <row r="119" spans="3:18" x14ac:dyDescent="0.3">
      <c r="C119" s="8">
        <v>109</v>
      </c>
      <c r="D119" s="25">
        <v>45947</v>
      </c>
      <c r="E119" s="26">
        <v>1436.6</v>
      </c>
      <c r="F119" s="26">
        <v>1002.55</v>
      </c>
      <c r="G119" s="26">
        <v>2150.1</v>
      </c>
      <c r="H119" s="26">
        <v>1441.1</v>
      </c>
      <c r="I119" s="52">
        <v>1416.8</v>
      </c>
      <c r="J119" s="44">
        <v>23184.05</v>
      </c>
      <c r="L119" s="56">
        <v>109</v>
      </c>
      <c r="M119" s="47">
        <f t="shared" si="9"/>
        <v>-1.3525557467841502E-2</v>
      </c>
      <c r="N119" s="47">
        <f t="shared" si="10"/>
        <v>-8.2127758932025816E-3</v>
      </c>
      <c r="O119" s="47">
        <f t="shared" si="11"/>
        <v>-2.5612978819379195E-3</v>
      </c>
      <c r="P119" s="47">
        <f t="shared" si="12"/>
        <v>2.0875577829211702E-2</v>
      </c>
      <c r="Q119" s="47">
        <f t="shared" si="13"/>
        <v>-1.3143594421818876E-2</v>
      </c>
      <c r="R119" s="57"/>
    </row>
    <row r="120" spans="3:18" x14ac:dyDescent="0.3">
      <c r="C120" s="8">
        <v>110</v>
      </c>
      <c r="D120" s="25">
        <v>45946</v>
      </c>
      <c r="E120" s="26">
        <v>1417.3</v>
      </c>
      <c r="F120" s="27">
        <v>994.35</v>
      </c>
      <c r="G120" s="26">
        <v>2144.6</v>
      </c>
      <c r="H120" s="26">
        <v>1471.5</v>
      </c>
      <c r="I120" s="52">
        <v>1398.3</v>
      </c>
      <c r="J120" s="44">
        <v>23294.799999999999</v>
      </c>
      <c r="L120" s="58">
        <v>110</v>
      </c>
      <c r="M120" s="47">
        <f t="shared" si="9"/>
        <v>-1.3424927271588631E-2</v>
      </c>
      <c r="N120" s="47">
        <f t="shared" si="10"/>
        <v>-1.6323996264988452E-2</v>
      </c>
      <c r="O120" s="47">
        <f t="shared" si="11"/>
        <v>-1.2575240789691052E-2</v>
      </c>
      <c r="P120" s="47">
        <f t="shared" si="12"/>
        <v>1.9688386820860266E-3</v>
      </c>
      <c r="Q120" s="47">
        <f t="shared" si="13"/>
        <v>-1.7312702485998813E-2</v>
      </c>
      <c r="R120" s="57"/>
    </row>
    <row r="121" spans="3:18" x14ac:dyDescent="0.3">
      <c r="C121" s="8">
        <v>111</v>
      </c>
      <c r="D121" s="25">
        <v>45945</v>
      </c>
      <c r="E121" s="26">
        <v>1398.4</v>
      </c>
      <c r="F121" s="27">
        <v>978.25</v>
      </c>
      <c r="G121" s="26">
        <v>2117.8000000000002</v>
      </c>
      <c r="H121" s="26">
        <v>1474.4</v>
      </c>
      <c r="I121" s="52">
        <v>1374.3</v>
      </c>
      <c r="J121" s="44">
        <v>23337.55</v>
      </c>
      <c r="L121" s="56">
        <v>111</v>
      </c>
      <c r="M121" s="47">
        <f t="shared" si="9"/>
        <v>-1.0278616998614876E-2</v>
      </c>
      <c r="N121" s="47">
        <f t="shared" si="10"/>
        <v>-1.2786090477391139E-3</v>
      </c>
      <c r="O121" s="47">
        <f t="shared" si="11"/>
        <v>1.3227830194289561E-2</v>
      </c>
      <c r="P121" s="47">
        <f t="shared" si="12"/>
        <v>1.2670340684815217E-2</v>
      </c>
      <c r="Q121" s="47">
        <f t="shared" si="13"/>
        <v>5.0922053986550398E-4</v>
      </c>
      <c r="R121" s="57"/>
    </row>
    <row r="122" spans="3:18" x14ac:dyDescent="0.3">
      <c r="C122" s="8">
        <v>112</v>
      </c>
      <c r="D122" s="25">
        <v>45944</v>
      </c>
      <c r="E122" s="26">
        <v>1384.1</v>
      </c>
      <c r="F122" s="27">
        <v>977</v>
      </c>
      <c r="G122" s="26">
        <v>2146</v>
      </c>
      <c r="H122" s="26">
        <v>1493.2</v>
      </c>
      <c r="I122" s="52">
        <v>1375</v>
      </c>
      <c r="J122" s="44">
        <v>23241.75</v>
      </c>
      <c r="L122" s="58">
        <v>112</v>
      </c>
      <c r="M122" s="47">
        <f t="shared" si="9"/>
        <v>-1.15665450616633E-3</v>
      </c>
      <c r="N122" s="47">
        <f t="shared" si="10"/>
        <v>1.5351943330305949E-4</v>
      </c>
      <c r="O122" s="47">
        <f t="shared" si="11"/>
        <v>-8.9401236701443457E-3</v>
      </c>
      <c r="P122" s="47">
        <f t="shared" si="12"/>
        <v>-2.212464447135261E-3</v>
      </c>
      <c r="Q122" s="47">
        <f t="shared" si="13"/>
        <v>6.5433133309914838E-4</v>
      </c>
      <c r="R122" s="57"/>
    </row>
    <row r="123" spans="3:18" x14ac:dyDescent="0.3">
      <c r="C123" s="8">
        <v>113</v>
      </c>
      <c r="D123" s="25">
        <v>45944</v>
      </c>
      <c r="E123" s="26">
        <v>1382.5</v>
      </c>
      <c r="F123" s="27">
        <v>977.15</v>
      </c>
      <c r="G123" s="26">
        <v>2126.9</v>
      </c>
      <c r="H123" s="26">
        <v>1489.9</v>
      </c>
      <c r="I123" s="52">
        <v>1375.9</v>
      </c>
      <c r="J123" s="44">
        <v>23109.35</v>
      </c>
      <c r="L123" s="56">
        <v>113</v>
      </c>
      <c r="M123" s="47">
        <f t="shared" si="9"/>
        <v>-2.2448323992989576E-3</v>
      </c>
      <c r="N123" s="47">
        <f t="shared" si="10"/>
        <v>1.3806153600450296E-3</v>
      </c>
      <c r="O123" s="47">
        <f t="shared" si="11"/>
        <v>-1.2490108911062633E-2</v>
      </c>
      <c r="P123" s="47">
        <f t="shared" si="12"/>
        <v>1.664042657098451E-2</v>
      </c>
      <c r="Q123" s="47">
        <f t="shared" si="13"/>
        <v>4.2065626288529476E-3</v>
      </c>
      <c r="R123" s="57"/>
    </row>
    <row r="124" spans="3:18" x14ac:dyDescent="0.3">
      <c r="C124" s="8">
        <v>114</v>
      </c>
      <c r="D124" s="25">
        <v>45943</v>
      </c>
      <c r="E124" s="26">
        <v>1379.4</v>
      </c>
      <c r="F124" s="27">
        <v>978.5</v>
      </c>
      <c r="G124" s="26">
        <v>2100.5</v>
      </c>
      <c r="H124" s="26">
        <v>1514.9</v>
      </c>
      <c r="I124" s="52">
        <v>1381.7</v>
      </c>
      <c r="J124" s="44">
        <v>23209.5</v>
      </c>
      <c r="L124" s="58">
        <v>114</v>
      </c>
      <c r="M124" s="47">
        <f t="shared" si="9"/>
        <v>6.5224483234155599E-4</v>
      </c>
      <c r="N124" s="47">
        <f t="shared" si="10"/>
        <v>2.4497307341389257E-3</v>
      </c>
      <c r="O124" s="47">
        <f t="shared" si="11"/>
        <v>-1.7868768818252442E-2</v>
      </c>
      <c r="P124" s="47">
        <f t="shared" si="12"/>
        <v>-3.7034629988954844E-3</v>
      </c>
      <c r="Q124" s="47">
        <f t="shared" si="13"/>
        <v>-2.8266009035284672E-3</v>
      </c>
      <c r="R124" s="57"/>
    </row>
    <row r="125" spans="3:18" x14ac:dyDescent="0.3">
      <c r="C125" s="8">
        <v>115</v>
      </c>
      <c r="D125" s="25">
        <v>45940</v>
      </c>
      <c r="E125" s="26">
        <v>1380.3</v>
      </c>
      <c r="F125" s="27">
        <v>980.9</v>
      </c>
      <c r="G125" s="26">
        <v>2063.3000000000002</v>
      </c>
      <c r="H125" s="26">
        <v>1509.3</v>
      </c>
      <c r="I125" s="52">
        <v>1377.8</v>
      </c>
      <c r="J125" s="44">
        <v>23169.65</v>
      </c>
      <c r="L125" s="56">
        <v>115</v>
      </c>
      <c r="M125" s="47">
        <f t="shared" si="9"/>
        <v>-2.9747890611530625E-3</v>
      </c>
      <c r="N125" s="47">
        <f t="shared" si="10"/>
        <v>-2.2453571384960119E-3</v>
      </c>
      <c r="O125" s="47">
        <f t="shared" si="11"/>
        <v>-3.4816139752645782E-2</v>
      </c>
      <c r="P125" s="47">
        <f t="shared" si="12"/>
        <v>-9.5197603405956649E-3</v>
      </c>
      <c r="Q125" s="47">
        <f t="shared" si="13"/>
        <v>-7.5768976794017822E-3</v>
      </c>
      <c r="R125" s="57"/>
    </row>
    <row r="126" spans="3:18" x14ac:dyDescent="0.3">
      <c r="C126" s="8">
        <v>116</v>
      </c>
      <c r="D126" s="25">
        <v>45939</v>
      </c>
      <c r="E126" s="26">
        <v>1376.2</v>
      </c>
      <c r="F126" s="27">
        <v>978.7</v>
      </c>
      <c r="G126" s="26">
        <v>1992.7</v>
      </c>
      <c r="H126" s="26">
        <v>1495</v>
      </c>
      <c r="I126" s="52">
        <v>1367.4</v>
      </c>
      <c r="J126" s="44">
        <v>23027.7</v>
      </c>
      <c r="L126" s="58">
        <v>116</v>
      </c>
      <c r="M126" s="47">
        <f t="shared" si="9"/>
        <v>-4.2963838162242566E-3</v>
      </c>
      <c r="N126" s="47">
        <f t="shared" si="10"/>
        <v>-1.6361594814763756E-3</v>
      </c>
      <c r="O126" s="47">
        <f t="shared" si="11"/>
        <v>-5.5216727051088854E-4</v>
      </c>
      <c r="P126" s="47">
        <f t="shared" si="12"/>
        <v>-2.4717696517010654E-2</v>
      </c>
      <c r="Q126" s="47">
        <f t="shared" si="13"/>
        <v>1.2644598382305899E-2</v>
      </c>
      <c r="R126" s="57"/>
    </row>
    <row r="127" spans="3:18" x14ac:dyDescent="0.3">
      <c r="C127" s="8">
        <v>117</v>
      </c>
      <c r="D127" s="25">
        <v>45938</v>
      </c>
      <c r="E127" s="26">
        <v>1370.3</v>
      </c>
      <c r="F127" s="27">
        <v>977.1</v>
      </c>
      <c r="G127" s="26">
        <v>1991.6</v>
      </c>
      <c r="H127" s="26">
        <v>1458.5</v>
      </c>
      <c r="I127" s="52">
        <v>1384.8</v>
      </c>
      <c r="J127" s="44">
        <v>22928.3</v>
      </c>
      <c r="L127" s="56">
        <v>117</v>
      </c>
      <c r="M127" s="47">
        <f t="shared" si="9"/>
        <v>4.0783684816155918E-3</v>
      </c>
      <c r="N127" s="47">
        <f t="shared" si="10"/>
        <v>1.6361594814763775E-3</v>
      </c>
      <c r="O127" s="47">
        <f t="shared" si="11"/>
        <v>1.6054589039399129E-3</v>
      </c>
      <c r="P127" s="47">
        <f t="shared" si="12"/>
        <v>1.192721585264162E-2</v>
      </c>
      <c r="Q127" s="47">
        <f t="shared" si="13"/>
        <v>-7.1019937613278437E-3</v>
      </c>
      <c r="R127" s="57"/>
    </row>
    <row r="128" spans="3:18" x14ac:dyDescent="0.3">
      <c r="C128" s="8">
        <v>118</v>
      </c>
      <c r="D128" s="25">
        <v>45937</v>
      </c>
      <c r="E128" s="26">
        <v>1375.9</v>
      </c>
      <c r="F128" s="27">
        <v>978.7</v>
      </c>
      <c r="G128" s="26">
        <v>1994.8</v>
      </c>
      <c r="H128" s="26">
        <v>1476</v>
      </c>
      <c r="I128" s="52">
        <v>1375</v>
      </c>
      <c r="J128" s="44">
        <v>22734.1</v>
      </c>
      <c r="L128" s="58">
        <v>118</v>
      </c>
      <c r="M128" s="47">
        <f t="shared" si="9"/>
        <v>-9.1264825050858724E-3</v>
      </c>
      <c r="N128" s="47">
        <f t="shared" si="10"/>
        <v>3.8751833116423516E-3</v>
      </c>
      <c r="O128" s="47">
        <f t="shared" si="11"/>
        <v>9.3307066195414678E-3</v>
      </c>
      <c r="P128" s="47">
        <f t="shared" si="12"/>
        <v>-2.0119750745237534E-2</v>
      </c>
      <c r="Q128" s="47">
        <f t="shared" si="13"/>
        <v>-8.4721511719867155E-3</v>
      </c>
      <c r="R128" s="57"/>
    </row>
    <row r="129" spans="3:18" x14ac:dyDescent="0.3">
      <c r="C129" s="8">
        <v>119</v>
      </c>
      <c r="D129" s="25">
        <v>45936</v>
      </c>
      <c r="E129" s="26">
        <v>1363.4</v>
      </c>
      <c r="F129" s="27">
        <v>982.5</v>
      </c>
      <c r="G129" s="26">
        <v>2013.5</v>
      </c>
      <c r="H129" s="26">
        <v>1446.6</v>
      </c>
      <c r="I129" s="52">
        <v>1363.4</v>
      </c>
      <c r="J129" s="44">
        <v>22739.1</v>
      </c>
      <c r="L129" s="56">
        <v>119</v>
      </c>
      <c r="M129" s="47">
        <f t="shared" si="9"/>
        <v>1.3193581038669698E-3</v>
      </c>
      <c r="N129" s="47">
        <f t="shared" si="10"/>
        <v>-9.2538813184968767E-3</v>
      </c>
      <c r="O129" s="47">
        <f t="shared" si="11"/>
        <v>0</v>
      </c>
      <c r="P129" s="47">
        <f t="shared" si="12"/>
        <v>-5.5317384898359351E-4</v>
      </c>
      <c r="Q129" s="47">
        <f t="shared" si="13"/>
        <v>3.8798042885357098E-3</v>
      </c>
      <c r="R129" s="57"/>
    </row>
    <row r="130" spans="3:18" x14ac:dyDescent="0.3">
      <c r="C130" s="8">
        <v>120</v>
      </c>
      <c r="D130" s="25">
        <v>45933</v>
      </c>
      <c r="E130" s="26">
        <v>1365.2</v>
      </c>
      <c r="F130" s="27">
        <v>973.45</v>
      </c>
      <c r="G130" s="26">
        <v>2013.5</v>
      </c>
      <c r="H130" s="26">
        <v>1445.8</v>
      </c>
      <c r="I130" s="52">
        <v>1368.7</v>
      </c>
      <c r="J130" s="44">
        <v>22713.15</v>
      </c>
      <c r="L130" s="58">
        <v>120</v>
      </c>
      <c r="M130" s="47">
        <f t="shared" si="9"/>
        <v>4.9685912532786121E-3</v>
      </c>
      <c r="N130" s="47">
        <f t="shared" si="10"/>
        <v>-8.5629327510351756E-3</v>
      </c>
      <c r="O130" s="47">
        <f t="shared" si="11"/>
        <v>8.8014808682004304E-3</v>
      </c>
      <c r="P130" s="47">
        <f t="shared" si="12"/>
        <v>-2.7704685957185742E-3</v>
      </c>
      <c r="Q130" s="47">
        <f t="shared" si="13"/>
        <v>-3.4398248138132791E-3</v>
      </c>
      <c r="R130" s="57"/>
    </row>
    <row r="131" spans="3:18" x14ac:dyDescent="0.3">
      <c r="C131" s="8">
        <v>121</v>
      </c>
      <c r="D131" s="25">
        <v>45931</v>
      </c>
      <c r="E131" s="26">
        <v>1372</v>
      </c>
      <c r="F131" s="27">
        <v>965.15</v>
      </c>
      <c r="G131" s="26">
        <v>2031.3</v>
      </c>
      <c r="H131" s="26">
        <v>1441.8</v>
      </c>
      <c r="I131" s="52">
        <v>1364</v>
      </c>
      <c r="J131" s="44">
        <v>23022.400000000001</v>
      </c>
      <c r="L131" s="56">
        <v>121</v>
      </c>
      <c r="M131" s="47">
        <f t="shared" si="9"/>
        <v>-1.7647516813578228E-2</v>
      </c>
      <c r="N131" s="47">
        <f t="shared" si="10"/>
        <v>1.0360547046161253E-4</v>
      </c>
      <c r="O131" s="47">
        <f t="shared" si="11"/>
        <v>8.0412298948051106E-3</v>
      </c>
      <c r="P131" s="47">
        <f t="shared" si="12"/>
        <v>0</v>
      </c>
      <c r="Q131" s="47">
        <f t="shared" si="13"/>
        <v>6.4308903302903314E-3</v>
      </c>
      <c r="R131" s="57"/>
    </row>
    <row r="132" spans="3:18" x14ac:dyDescent="0.3">
      <c r="C132" s="8">
        <v>122</v>
      </c>
      <c r="D132" s="25">
        <v>45930</v>
      </c>
      <c r="E132" s="26">
        <v>1348</v>
      </c>
      <c r="F132" s="27">
        <v>965.25</v>
      </c>
      <c r="G132" s="26">
        <v>2047.7</v>
      </c>
      <c r="H132" s="26">
        <v>1441.8</v>
      </c>
      <c r="I132" s="52">
        <v>1372.8</v>
      </c>
      <c r="J132" s="44">
        <v>23178.25</v>
      </c>
      <c r="L132" s="58">
        <v>122</v>
      </c>
      <c r="M132" s="47">
        <f t="shared" si="9"/>
        <v>7.4181224765932022E-5</v>
      </c>
      <c r="N132" s="47">
        <f t="shared" si="10"/>
        <v>-1.4873072598955449E-2</v>
      </c>
      <c r="O132" s="47">
        <f t="shared" si="11"/>
        <v>-1.2778470434233519E-2</v>
      </c>
      <c r="P132" s="47">
        <f t="shared" si="12"/>
        <v>4.9123148561983814E-3</v>
      </c>
      <c r="Q132" s="47">
        <f t="shared" si="13"/>
        <v>3.4904049397685676E-3</v>
      </c>
      <c r="R132" s="57"/>
    </row>
    <row r="133" spans="3:18" x14ac:dyDescent="0.3">
      <c r="C133" s="8">
        <v>123</v>
      </c>
      <c r="D133" s="25">
        <v>45929</v>
      </c>
      <c r="E133" s="26">
        <v>1348.1</v>
      </c>
      <c r="F133" s="27">
        <v>951</v>
      </c>
      <c r="G133" s="26">
        <v>2021.7</v>
      </c>
      <c r="H133" s="26">
        <v>1448.9</v>
      </c>
      <c r="I133" s="52">
        <v>1377.6</v>
      </c>
      <c r="J133" s="44">
        <v>23325.25</v>
      </c>
      <c r="L133" s="56">
        <v>123</v>
      </c>
      <c r="M133" s="47">
        <f t="shared" si="9"/>
        <v>8.4943451249425914E-3</v>
      </c>
      <c r="N133" s="47">
        <f t="shared" si="10"/>
        <v>-7.3633832812083412E-4</v>
      </c>
      <c r="O133" s="47">
        <f t="shared" si="11"/>
        <v>4.5895409601036143E-3</v>
      </c>
      <c r="P133" s="47">
        <f t="shared" si="12"/>
        <v>2.4475435205259348E-2</v>
      </c>
      <c r="Q133" s="47">
        <f t="shared" si="13"/>
        <v>-3.7818226891716163E-3</v>
      </c>
      <c r="R133" s="57"/>
    </row>
    <row r="134" spans="3:18" x14ac:dyDescent="0.3">
      <c r="C134" s="8">
        <v>124</v>
      </c>
      <c r="D134" s="25">
        <v>45926</v>
      </c>
      <c r="E134" s="26">
        <v>1359.6</v>
      </c>
      <c r="F134" s="27">
        <v>950.3</v>
      </c>
      <c r="G134" s="26">
        <v>2031</v>
      </c>
      <c r="H134" s="26">
        <v>1484.8</v>
      </c>
      <c r="I134" s="52">
        <v>1372.4</v>
      </c>
      <c r="J134" s="44">
        <v>23381.45</v>
      </c>
      <c r="L134" s="58">
        <v>124</v>
      </c>
      <c r="M134" s="47">
        <f t="shared" si="9"/>
        <v>1.1844841269952951E-2</v>
      </c>
      <c r="N134" s="47">
        <f t="shared" si="10"/>
        <v>-5.5398880703041815E-3</v>
      </c>
      <c r="O134" s="47">
        <f t="shared" si="11"/>
        <v>1.1552899201778559E-2</v>
      </c>
      <c r="P134" s="47">
        <f t="shared" si="12"/>
        <v>6.5785294642535562E-3</v>
      </c>
      <c r="Q134" s="47">
        <f t="shared" si="13"/>
        <v>7.6940206804633924E-3</v>
      </c>
      <c r="R134" s="57"/>
    </row>
    <row r="135" spans="3:18" x14ac:dyDescent="0.3">
      <c r="C135" s="8">
        <v>125</v>
      </c>
      <c r="D135" s="25">
        <v>45925</v>
      </c>
      <c r="E135" s="26">
        <v>1375.8</v>
      </c>
      <c r="F135" s="27">
        <v>945.05</v>
      </c>
      <c r="G135" s="26">
        <v>2054.6</v>
      </c>
      <c r="H135" s="26">
        <v>1494.6</v>
      </c>
      <c r="I135" s="52">
        <v>1383</v>
      </c>
      <c r="J135" s="44">
        <v>23486.65</v>
      </c>
      <c r="L135" s="56">
        <v>125</v>
      </c>
      <c r="M135" s="47">
        <f t="shared" si="9"/>
        <v>5.002729302658525E-3</v>
      </c>
      <c r="N135" s="47">
        <f t="shared" si="10"/>
        <v>5.0662412440927928E-3</v>
      </c>
      <c r="O135" s="47">
        <f t="shared" si="11"/>
        <v>-2.0950578931620478E-3</v>
      </c>
      <c r="P135" s="47">
        <f t="shared" si="12"/>
        <v>1.9384384934148244E-3</v>
      </c>
      <c r="Q135" s="47">
        <f t="shared" si="13"/>
        <v>4.9047992154688403E-3</v>
      </c>
      <c r="R135" s="57"/>
    </row>
    <row r="136" spans="3:18" x14ac:dyDescent="0.3">
      <c r="C136" s="8">
        <v>126</v>
      </c>
      <c r="D136" s="25">
        <v>45924</v>
      </c>
      <c r="E136" s="26">
        <v>1382.7</v>
      </c>
      <c r="F136" s="27">
        <v>949.85</v>
      </c>
      <c r="G136" s="26">
        <v>2050.3000000000002</v>
      </c>
      <c r="H136" s="26">
        <v>1497.5</v>
      </c>
      <c r="I136" s="52">
        <v>1389.8</v>
      </c>
      <c r="J136" s="44">
        <v>23518.9</v>
      </c>
      <c r="L136" s="58">
        <v>126</v>
      </c>
      <c r="M136" s="47">
        <f t="shared" si="9"/>
        <v>8.3543878064030481E-3</v>
      </c>
      <c r="N136" s="47">
        <f t="shared" si="10"/>
        <v>1.2625600077916946E-3</v>
      </c>
      <c r="O136" s="47">
        <f t="shared" si="11"/>
        <v>-1.4047382268720168E-2</v>
      </c>
      <c r="P136" s="47">
        <f t="shared" si="12"/>
        <v>1.3346681994594483E-3</v>
      </c>
      <c r="Q136" s="47">
        <f t="shared" si="13"/>
        <v>5.7545678469048936E-4</v>
      </c>
      <c r="R136" s="57"/>
    </row>
    <row r="137" spans="3:18" x14ac:dyDescent="0.3">
      <c r="C137" s="8">
        <v>127</v>
      </c>
      <c r="D137" s="25">
        <v>45923</v>
      </c>
      <c r="E137" s="26">
        <v>1394.3</v>
      </c>
      <c r="F137" s="27">
        <v>951.05</v>
      </c>
      <c r="G137" s="26">
        <v>2021.7</v>
      </c>
      <c r="H137" s="26">
        <v>1499.5</v>
      </c>
      <c r="I137" s="52">
        <v>1390.6</v>
      </c>
      <c r="J137" s="44">
        <v>23445.200000000001</v>
      </c>
      <c r="L137" s="56">
        <v>127</v>
      </c>
      <c r="M137" s="47">
        <f t="shared" si="9"/>
        <v>5.1505944038676326E-3</v>
      </c>
      <c r="N137" s="47">
        <f t="shared" si="10"/>
        <v>6.4457186353684068E-3</v>
      </c>
      <c r="O137" s="47">
        <f t="shared" si="11"/>
        <v>-2.549918995047299E-2</v>
      </c>
      <c r="P137" s="47">
        <f t="shared" si="12"/>
        <v>2.6780558916086064E-2</v>
      </c>
      <c r="Q137" s="47">
        <f t="shared" si="13"/>
        <v>1.200872186753124E-2</v>
      </c>
      <c r="R137" s="57"/>
    </row>
    <row r="138" spans="3:18" x14ac:dyDescent="0.3">
      <c r="C138" s="8">
        <v>128</v>
      </c>
      <c r="D138" s="25">
        <v>45922</v>
      </c>
      <c r="E138" s="26">
        <v>1401.5</v>
      </c>
      <c r="F138" s="27">
        <v>957.2</v>
      </c>
      <c r="G138" s="26">
        <v>1970.8</v>
      </c>
      <c r="H138" s="26">
        <v>1540.2</v>
      </c>
      <c r="I138" s="52">
        <v>1407.4</v>
      </c>
      <c r="J138" s="44">
        <v>23369.3</v>
      </c>
      <c r="L138" s="58">
        <v>128</v>
      </c>
      <c r="M138" s="47">
        <f t="shared" si="9"/>
        <v>4.9934016802422412E-4</v>
      </c>
      <c r="N138" s="47">
        <f t="shared" si="10"/>
        <v>7.2863859373037279E-3</v>
      </c>
      <c r="O138" s="47">
        <f t="shared" si="11"/>
        <v>7.6082273964972382E-4</v>
      </c>
      <c r="P138" s="47">
        <f t="shared" si="12"/>
        <v>2.5967281371565E-4</v>
      </c>
      <c r="Q138" s="47">
        <f t="shared" si="13"/>
        <v>5.3855005448893668E-3</v>
      </c>
      <c r="R138" s="57"/>
    </row>
    <row r="139" spans="3:18" x14ac:dyDescent="0.3">
      <c r="C139" s="8">
        <v>129</v>
      </c>
      <c r="D139" s="25">
        <v>45919</v>
      </c>
      <c r="E139" s="26">
        <v>1402.2</v>
      </c>
      <c r="F139" s="27">
        <v>964.2</v>
      </c>
      <c r="G139" s="26">
        <v>1972.3</v>
      </c>
      <c r="H139" s="26">
        <v>1540.6</v>
      </c>
      <c r="I139" s="52">
        <v>1415</v>
      </c>
      <c r="J139" s="44">
        <v>23215.85</v>
      </c>
      <c r="L139" s="56">
        <v>129</v>
      </c>
      <c r="M139" s="47">
        <f t="shared" si="9"/>
        <v>1.3810906868784927E-2</v>
      </c>
      <c r="N139" s="47">
        <f t="shared" si="10"/>
        <v>2.7963355179798006E-3</v>
      </c>
      <c r="O139" s="47">
        <f t="shared" si="11"/>
        <v>0</v>
      </c>
      <c r="P139" s="47">
        <f t="shared" si="12"/>
        <v>-1.188391393692559E-2</v>
      </c>
      <c r="Q139" s="47">
        <f t="shared" si="13"/>
        <v>-8.4841634048436559E-4</v>
      </c>
      <c r="R139" s="57"/>
    </row>
    <row r="140" spans="3:18" x14ac:dyDescent="0.3">
      <c r="C140" s="8">
        <v>130</v>
      </c>
      <c r="D140" s="25">
        <v>45918</v>
      </c>
      <c r="E140" s="26">
        <v>1421.7</v>
      </c>
      <c r="F140" s="27">
        <v>966.9</v>
      </c>
      <c r="G140" s="26">
        <v>1972.3</v>
      </c>
      <c r="H140" s="26">
        <v>1522.4</v>
      </c>
      <c r="I140" s="52">
        <v>1413.8</v>
      </c>
      <c r="J140" s="44">
        <v>23190.25</v>
      </c>
      <c r="L140" s="58">
        <v>130</v>
      </c>
      <c r="M140" s="47">
        <f t="shared" ref="M140:M203" si="14">LN(E141/E140)</f>
        <v>-1.7600060863373159E-3</v>
      </c>
      <c r="N140" s="47">
        <f t="shared" ref="N140:N203" si="15">LN(F141/F140)</f>
        <v>1.0289215169395106E-2</v>
      </c>
      <c r="O140" s="47">
        <f t="shared" ref="O140:O203" si="16">LN(G141/G140)</f>
        <v>0</v>
      </c>
      <c r="P140" s="47">
        <f t="shared" ref="P140:P203" si="17">LN(H141/H140)</f>
        <v>-1.1495138798963661E-2</v>
      </c>
      <c r="Q140" s="47">
        <f t="shared" ref="Q140:Q203" si="18">LN(I141/I140)</f>
        <v>-6.0303116301543315E-3</v>
      </c>
      <c r="R140" s="57"/>
    </row>
    <row r="141" spans="3:18" x14ac:dyDescent="0.3">
      <c r="C141" s="8">
        <v>131</v>
      </c>
      <c r="D141" s="25">
        <v>45917</v>
      </c>
      <c r="E141" s="26">
        <v>1419.2</v>
      </c>
      <c r="F141" s="27">
        <v>976.9</v>
      </c>
      <c r="G141" s="26">
        <v>1972.3</v>
      </c>
      <c r="H141" s="26">
        <v>1505</v>
      </c>
      <c r="I141" s="52">
        <v>1405.3</v>
      </c>
      <c r="J141" s="44">
        <v>23102.65</v>
      </c>
      <c r="L141" s="56">
        <v>131</v>
      </c>
      <c r="M141" s="47">
        <f t="shared" si="14"/>
        <v>1.6896652851264519E-3</v>
      </c>
      <c r="N141" s="47">
        <f t="shared" si="15"/>
        <v>-1.0702994010511299E-2</v>
      </c>
      <c r="O141" s="47">
        <f t="shared" si="16"/>
        <v>4.4013932890932866E-3</v>
      </c>
      <c r="P141" s="47">
        <f t="shared" si="17"/>
        <v>4.17730939309887E-3</v>
      </c>
      <c r="Q141" s="47">
        <f t="shared" si="18"/>
        <v>-4.2786915450316633E-3</v>
      </c>
      <c r="R141" s="57"/>
    </row>
    <row r="142" spans="3:18" x14ac:dyDescent="0.3">
      <c r="C142" s="8">
        <v>132</v>
      </c>
      <c r="D142" s="25">
        <v>45916</v>
      </c>
      <c r="E142" s="26">
        <v>1421.6</v>
      </c>
      <c r="F142" s="27">
        <v>966.5</v>
      </c>
      <c r="G142" s="26">
        <v>1981</v>
      </c>
      <c r="H142" s="26">
        <v>1511.3</v>
      </c>
      <c r="I142" s="52">
        <v>1399.3</v>
      </c>
      <c r="J142" s="44">
        <v>23074.15</v>
      </c>
      <c r="L142" s="58">
        <v>132</v>
      </c>
      <c r="M142" s="47">
        <f t="shared" si="14"/>
        <v>-1.5487507495588607E-3</v>
      </c>
      <c r="N142" s="47">
        <f t="shared" si="15"/>
        <v>3.620658482153736E-4</v>
      </c>
      <c r="O142" s="47">
        <f t="shared" si="16"/>
        <v>-3.894499523170765E-3</v>
      </c>
      <c r="P142" s="47">
        <f t="shared" si="17"/>
        <v>-1.9207211918728681E-3</v>
      </c>
      <c r="Q142" s="47">
        <f t="shared" si="18"/>
        <v>-1.1500162680898155E-2</v>
      </c>
      <c r="R142" s="57"/>
    </row>
    <row r="143" spans="3:18" x14ac:dyDescent="0.3">
      <c r="C143" s="8">
        <v>133</v>
      </c>
      <c r="D143" s="25">
        <v>45915</v>
      </c>
      <c r="E143" s="26">
        <v>1419.4</v>
      </c>
      <c r="F143" s="27">
        <v>966.85</v>
      </c>
      <c r="G143" s="26">
        <v>1973.3</v>
      </c>
      <c r="H143" s="26">
        <v>1508.4</v>
      </c>
      <c r="I143" s="52">
        <v>1383.3</v>
      </c>
      <c r="J143" s="44">
        <v>22949.1</v>
      </c>
      <c r="L143" s="56">
        <v>133</v>
      </c>
      <c r="M143" s="47">
        <f t="shared" si="14"/>
        <v>-1.1984069672967604E-3</v>
      </c>
      <c r="N143" s="47">
        <f t="shared" si="15"/>
        <v>2.0683592813801728E-4</v>
      </c>
      <c r="O143" s="47">
        <f t="shared" si="16"/>
        <v>-1.6607008985594533E-2</v>
      </c>
      <c r="P143" s="47">
        <f t="shared" si="17"/>
        <v>1.1338288902007094E-2</v>
      </c>
      <c r="Q143" s="47">
        <f t="shared" si="18"/>
        <v>8.4224663746964648E-3</v>
      </c>
      <c r="R143" s="57"/>
    </row>
    <row r="144" spans="3:18" x14ac:dyDescent="0.3">
      <c r="C144" s="8">
        <v>134</v>
      </c>
      <c r="D144" s="25">
        <v>45912</v>
      </c>
      <c r="E144" s="26">
        <v>1417.7</v>
      </c>
      <c r="F144" s="27">
        <v>967.05</v>
      </c>
      <c r="G144" s="26">
        <v>1940.8</v>
      </c>
      <c r="H144" s="26">
        <v>1525.6</v>
      </c>
      <c r="I144" s="52">
        <v>1395</v>
      </c>
      <c r="J144" s="44">
        <v>22878.65</v>
      </c>
      <c r="L144" s="58">
        <v>134</v>
      </c>
      <c r="M144" s="47">
        <f t="shared" si="14"/>
        <v>-1.1421398941458936E-2</v>
      </c>
      <c r="N144" s="47">
        <f t="shared" si="15"/>
        <v>2.5848476376256438E-4</v>
      </c>
      <c r="O144" s="47">
        <f t="shared" si="16"/>
        <v>1.0048274845606782E-2</v>
      </c>
      <c r="P144" s="47">
        <f t="shared" si="17"/>
        <v>0</v>
      </c>
      <c r="Q144" s="47">
        <f t="shared" si="18"/>
        <v>-8.4224663746964752E-3</v>
      </c>
      <c r="R144" s="57"/>
    </row>
    <row r="145" spans="3:18" x14ac:dyDescent="0.3">
      <c r="C145" s="8">
        <v>135</v>
      </c>
      <c r="D145" s="25">
        <v>45911</v>
      </c>
      <c r="E145" s="26">
        <v>1401.6</v>
      </c>
      <c r="F145" s="27">
        <v>967.3</v>
      </c>
      <c r="G145" s="26">
        <v>1960.4</v>
      </c>
      <c r="H145" s="26">
        <v>1525.6</v>
      </c>
      <c r="I145" s="52">
        <v>1383.3</v>
      </c>
      <c r="J145" s="44">
        <v>22829.15</v>
      </c>
      <c r="L145" s="56">
        <v>135</v>
      </c>
      <c r="M145" s="47">
        <f t="shared" si="14"/>
        <v>1.6396367957786323E-3</v>
      </c>
      <c r="N145" s="47">
        <f t="shared" si="15"/>
        <v>5.1676917071681171E-4</v>
      </c>
      <c r="O145" s="47">
        <f t="shared" si="16"/>
        <v>-5.2678807411974376E-3</v>
      </c>
      <c r="P145" s="47">
        <f t="shared" si="17"/>
        <v>-1.0476819712518869E-2</v>
      </c>
      <c r="Q145" s="47">
        <f t="shared" si="18"/>
        <v>-4.5647291521147175E-3</v>
      </c>
      <c r="R145" s="57"/>
    </row>
    <row r="146" spans="3:18" x14ac:dyDescent="0.3">
      <c r="C146" s="8">
        <v>136</v>
      </c>
      <c r="D146" s="25">
        <v>45910</v>
      </c>
      <c r="E146" s="26">
        <v>1403.9</v>
      </c>
      <c r="F146" s="27">
        <v>967.8</v>
      </c>
      <c r="G146" s="26">
        <v>1950.1</v>
      </c>
      <c r="H146" s="26">
        <v>1509.7</v>
      </c>
      <c r="I146" s="52">
        <v>1377</v>
      </c>
      <c r="J146" s="44">
        <v>22819.65</v>
      </c>
      <c r="L146" s="58">
        <v>136</v>
      </c>
      <c r="M146" s="47">
        <f t="shared" si="14"/>
        <v>-8.5512725227989957E-4</v>
      </c>
      <c r="N146" s="47">
        <f t="shared" si="15"/>
        <v>-2.7419246853338979E-3</v>
      </c>
      <c r="O146" s="47">
        <f t="shared" si="16"/>
        <v>5.1658555408843621E-3</v>
      </c>
      <c r="P146" s="47">
        <f t="shared" si="17"/>
        <v>-3.5832818699123694E-3</v>
      </c>
      <c r="Q146" s="47">
        <f t="shared" si="18"/>
        <v>-1.4534886279831975E-3</v>
      </c>
      <c r="R146" s="57"/>
    </row>
    <row r="147" spans="3:18" x14ac:dyDescent="0.3">
      <c r="C147" s="8">
        <v>137</v>
      </c>
      <c r="D147" s="25">
        <v>45909</v>
      </c>
      <c r="E147" s="26">
        <v>1402.7</v>
      </c>
      <c r="F147" s="27">
        <v>965.15</v>
      </c>
      <c r="G147" s="26">
        <v>1960.2</v>
      </c>
      <c r="H147" s="26">
        <v>1504.3</v>
      </c>
      <c r="I147" s="52">
        <v>1375</v>
      </c>
      <c r="J147" s="44">
        <v>22864.65</v>
      </c>
      <c r="L147" s="56">
        <v>137</v>
      </c>
      <c r="M147" s="47">
        <f t="shared" si="14"/>
        <v>7.1265681465465882E-4</v>
      </c>
      <c r="N147" s="47">
        <f t="shared" si="15"/>
        <v>7.7677951136597442E-4</v>
      </c>
      <c r="O147" s="47">
        <f t="shared" si="16"/>
        <v>-7.5274954104711861E-3</v>
      </c>
      <c r="P147" s="47">
        <f t="shared" si="17"/>
        <v>1.8637965832525891E-2</v>
      </c>
      <c r="Q147" s="47">
        <f t="shared" si="18"/>
        <v>8.7234666770790023E-4</v>
      </c>
      <c r="R147" s="57"/>
    </row>
    <row r="148" spans="3:18" x14ac:dyDescent="0.3">
      <c r="C148" s="8">
        <v>138</v>
      </c>
      <c r="D148" s="25">
        <v>45909</v>
      </c>
      <c r="E148" s="26">
        <v>1403.7</v>
      </c>
      <c r="F148" s="27">
        <v>965.9</v>
      </c>
      <c r="G148" s="26">
        <v>1945.5</v>
      </c>
      <c r="H148" s="26">
        <v>1532.6</v>
      </c>
      <c r="I148" s="52">
        <v>1376.2</v>
      </c>
      <c r="J148" s="44">
        <v>22724.400000000001</v>
      </c>
      <c r="L148" s="58">
        <v>138</v>
      </c>
      <c r="M148" s="47">
        <f t="shared" si="14"/>
        <v>-7.1265681465459974E-4</v>
      </c>
      <c r="N148" s="47">
        <f t="shared" si="15"/>
        <v>1.0352502726772179E-4</v>
      </c>
      <c r="O148" s="47">
        <f t="shared" si="16"/>
        <v>2.1565011438046447E-3</v>
      </c>
      <c r="P148" s="47">
        <f t="shared" si="17"/>
        <v>-6.7265276813746638E-2</v>
      </c>
      <c r="Q148" s="47">
        <f t="shared" si="18"/>
        <v>1.6698736954720243E-3</v>
      </c>
      <c r="R148" s="57"/>
    </row>
    <row r="149" spans="3:18" x14ac:dyDescent="0.3">
      <c r="C149" s="8">
        <v>139</v>
      </c>
      <c r="D149" s="25">
        <v>45908</v>
      </c>
      <c r="E149" s="26">
        <v>1402.7</v>
      </c>
      <c r="F149" s="27">
        <v>966</v>
      </c>
      <c r="G149" s="26">
        <v>1949.7</v>
      </c>
      <c r="H149" s="26">
        <v>1432.9</v>
      </c>
      <c r="I149" s="52">
        <v>1378.5</v>
      </c>
      <c r="J149" s="44">
        <v>22713.55</v>
      </c>
      <c r="L149" s="56">
        <v>139</v>
      </c>
      <c r="M149" s="47">
        <f t="shared" si="14"/>
        <v>7.1288540397356799E-5</v>
      </c>
      <c r="N149" s="47">
        <f t="shared" si="15"/>
        <v>-2.6951400163976341E-3</v>
      </c>
      <c r="O149" s="47">
        <f t="shared" si="16"/>
        <v>-3.699711326610425E-3</v>
      </c>
      <c r="P149" s="47">
        <f t="shared" si="17"/>
        <v>0</v>
      </c>
      <c r="Q149" s="47">
        <f t="shared" si="18"/>
        <v>-2.5422203631797792E-3</v>
      </c>
      <c r="R149" s="57"/>
    </row>
    <row r="150" spans="3:18" x14ac:dyDescent="0.3">
      <c r="C150" s="8">
        <v>140</v>
      </c>
      <c r="D150" s="25">
        <v>45905</v>
      </c>
      <c r="E150" s="26">
        <v>1402.8</v>
      </c>
      <c r="F150" s="27">
        <v>963.4</v>
      </c>
      <c r="G150" s="26">
        <v>1942.5</v>
      </c>
      <c r="H150" s="26">
        <v>1432.9</v>
      </c>
      <c r="I150" s="52">
        <v>1375</v>
      </c>
      <c r="J150" s="44">
        <v>22462.95</v>
      </c>
      <c r="L150" s="58">
        <v>140</v>
      </c>
      <c r="M150" s="47">
        <f t="shared" si="14"/>
        <v>1.922872080563669E-3</v>
      </c>
      <c r="N150" s="47">
        <f t="shared" si="15"/>
        <v>-2.2341733762666488E-3</v>
      </c>
      <c r="O150" s="47">
        <f t="shared" si="16"/>
        <v>9.0707055932770699E-3</v>
      </c>
      <c r="P150" s="47">
        <f t="shared" si="17"/>
        <v>8.1321038941890786E-3</v>
      </c>
      <c r="Q150" s="47">
        <f t="shared" si="18"/>
        <v>-1.1483869759469528E-2</v>
      </c>
      <c r="R150" s="57"/>
    </row>
    <row r="151" spans="3:18" x14ac:dyDescent="0.3">
      <c r="C151" s="8">
        <v>141</v>
      </c>
      <c r="D151" s="25">
        <v>45904</v>
      </c>
      <c r="E151" s="26">
        <v>1405.5</v>
      </c>
      <c r="F151" s="27">
        <v>961.25</v>
      </c>
      <c r="G151" s="26">
        <v>1960.2</v>
      </c>
      <c r="H151" s="26">
        <v>1444.6</v>
      </c>
      <c r="I151" s="52">
        <v>1359.3</v>
      </c>
      <c r="J151" s="44">
        <v>22541.65</v>
      </c>
      <c r="L151" s="56">
        <v>141</v>
      </c>
      <c r="M151" s="47">
        <f t="shared" si="14"/>
        <v>-6.0660310896247481E-3</v>
      </c>
      <c r="N151" s="47">
        <f t="shared" si="15"/>
        <v>-7.0992624729428128E-3</v>
      </c>
      <c r="O151" s="47">
        <f t="shared" si="16"/>
        <v>-9.0707055932769468E-3</v>
      </c>
      <c r="P151" s="47">
        <f t="shared" si="17"/>
        <v>1.2656655403377936E-2</v>
      </c>
      <c r="Q151" s="47">
        <f t="shared" si="18"/>
        <v>9.7368901333319581E-3</v>
      </c>
      <c r="R151" s="57"/>
    </row>
    <row r="152" spans="3:18" x14ac:dyDescent="0.3">
      <c r="C152" s="8">
        <v>142</v>
      </c>
      <c r="D152" s="25">
        <v>45903</v>
      </c>
      <c r="E152" s="26">
        <v>1397</v>
      </c>
      <c r="F152" s="27">
        <v>954.45</v>
      </c>
      <c r="G152" s="26">
        <v>1942.5</v>
      </c>
      <c r="H152" s="26">
        <v>1463</v>
      </c>
      <c r="I152" s="52">
        <v>1372.6</v>
      </c>
      <c r="J152" s="44">
        <v>22768.65</v>
      </c>
      <c r="L152" s="58">
        <v>142</v>
      </c>
      <c r="M152" s="47">
        <f t="shared" si="14"/>
        <v>-2.0063062046634535E-3</v>
      </c>
      <c r="N152" s="47">
        <f t="shared" si="15"/>
        <v>-1.0479571405346612E-2</v>
      </c>
      <c r="O152" s="47">
        <f t="shared" si="16"/>
        <v>9.1217194945761079E-3</v>
      </c>
      <c r="P152" s="47">
        <f t="shared" si="17"/>
        <v>1.0944672657199925E-2</v>
      </c>
      <c r="Q152" s="47">
        <f t="shared" si="18"/>
        <v>-4.454025106411511E-3</v>
      </c>
      <c r="R152" s="57"/>
    </row>
    <row r="153" spans="3:18" x14ac:dyDescent="0.3">
      <c r="C153" s="8">
        <v>143</v>
      </c>
      <c r="D153" s="25">
        <v>45902</v>
      </c>
      <c r="E153" s="26">
        <v>1394.2</v>
      </c>
      <c r="F153" s="27">
        <v>944.5</v>
      </c>
      <c r="G153" s="26">
        <v>1960.3</v>
      </c>
      <c r="H153" s="26">
        <v>1479.1</v>
      </c>
      <c r="I153" s="52">
        <v>1366.5</v>
      </c>
      <c r="J153" s="44">
        <v>23052</v>
      </c>
      <c r="L153" s="56">
        <v>143</v>
      </c>
      <c r="M153" s="47">
        <f t="shared" si="14"/>
        <v>1.1977898800515691E-2</v>
      </c>
      <c r="N153" s="47">
        <f t="shared" si="15"/>
        <v>6.437677238344936E-3</v>
      </c>
      <c r="O153" s="47">
        <f t="shared" si="16"/>
        <v>4.2251074587322619E-3</v>
      </c>
      <c r="P153" s="47">
        <f t="shared" si="17"/>
        <v>1.316427097362623E-2</v>
      </c>
      <c r="Q153" s="47">
        <f t="shared" si="18"/>
        <v>-9.2634098670574764E-3</v>
      </c>
      <c r="R153" s="57"/>
    </row>
    <row r="154" spans="3:18" x14ac:dyDescent="0.3">
      <c r="C154" s="8">
        <v>144</v>
      </c>
      <c r="D154" s="25">
        <v>45901</v>
      </c>
      <c r="E154" s="26">
        <v>1411</v>
      </c>
      <c r="F154" s="27">
        <v>950.6</v>
      </c>
      <c r="G154" s="26">
        <v>1968.6</v>
      </c>
      <c r="H154" s="26">
        <v>1498.7</v>
      </c>
      <c r="I154" s="52">
        <v>1353.9</v>
      </c>
      <c r="J154" s="44">
        <v>22991.3</v>
      </c>
      <c r="L154" s="58">
        <v>144</v>
      </c>
      <c r="M154" s="47">
        <f t="shared" si="14"/>
        <v>-9.3991008097853504E-3</v>
      </c>
      <c r="N154" s="47">
        <f t="shared" si="15"/>
        <v>1.0514142488935179E-3</v>
      </c>
      <c r="O154" s="47">
        <f t="shared" si="16"/>
        <v>-4.2251074587323313E-3</v>
      </c>
      <c r="P154" s="47">
        <f t="shared" si="17"/>
        <v>4.6696241801130419E-4</v>
      </c>
      <c r="Q154" s="47">
        <f t="shared" si="18"/>
        <v>2.4344374090098687E-3</v>
      </c>
      <c r="R154" s="57"/>
    </row>
    <row r="155" spans="3:18" x14ac:dyDescent="0.3">
      <c r="C155" s="8">
        <v>145</v>
      </c>
      <c r="D155" s="25">
        <v>45898</v>
      </c>
      <c r="E155" s="26">
        <v>1397.8</v>
      </c>
      <c r="F155" s="27">
        <v>951.6</v>
      </c>
      <c r="G155" s="26">
        <v>1960.3</v>
      </c>
      <c r="H155" s="26">
        <v>1499.4</v>
      </c>
      <c r="I155" s="52">
        <v>1357.2</v>
      </c>
      <c r="J155" s="44">
        <v>23137.15</v>
      </c>
      <c r="L155" s="56">
        <v>145</v>
      </c>
      <c r="M155" s="47">
        <f t="shared" si="14"/>
        <v>9.2960069621163331E-4</v>
      </c>
      <c r="N155" s="47">
        <f t="shared" si="15"/>
        <v>6.494209479706377E-3</v>
      </c>
      <c r="O155" s="47">
        <f t="shared" si="16"/>
        <v>-7.9897992255420353E-3</v>
      </c>
      <c r="P155" s="47">
        <f t="shared" si="17"/>
        <v>-2.0074773168045876E-2</v>
      </c>
      <c r="Q155" s="47">
        <f t="shared" si="18"/>
        <v>2.0925994164681678E-2</v>
      </c>
      <c r="R155" s="57"/>
    </row>
    <row r="156" spans="3:18" x14ac:dyDescent="0.3">
      <c r="C156" s="8">
        <v>146</v>
      </c>
      <c r="D156" s="25">
        <v>45897</v>
      </c>
      <c r="E156" s="26">
        <v>1399.1</v>
      </c>
      <c r="F156" s="27">
        <v>957.8</v>
      </c>
      <c r="G156" s="26">
        <v>1944.7</v>
      </c>
      <c r="H156" s="26">
        <v>1469.6</v>
      </c>
      <c r="I156" s="52">
        <v>1385.9</v>
      </c>
      <c r="J156" s="44">
        <v>23143.15</v>
      </c>
      <c r="L156" s="58">
        <v>146</v>
      </c>
      <c r="M156" s="47">
        <f t="shared" si="14"/>
        <v>1.2430461580282022E-2</v>
      </c>
      <c r="N156" s="47">
        <f t="shared" si="15"/>
        <v>1.6156109490844929E-2</v>
      </c>
      <c r="O156" s="47">
        <f t="shared" si="16"/>
        <v>0</v>
      </c>
      <c r="P156" s="47">
        <f t="shared" si="17"/>
        <v>2.0541517633928745E-2</v>
      </c>
      <c r="Q156" s="47">
        <f t="shared" si="18"/>
        <v>-7.2181322608473293E-4</v>
      </c>
      <c r="R156" s="57"/>
    </row>
    <row r="157" spans="3:18" x14ac:dyDescent="0.3">
      <c r="C157" s="8">
        <v>147</v>
      </c>
      <c r="D157" s="25">
        <v>45895</v>
      </c>
      <c r="E157" s="26">
        <v>1416.6</v>
      </c>
      <c r="F157" s="27">
        <v>973.4</v>
      </c>
      <c r="G157" s="26">
        <v>1944.7</v>
      </c>
      <c r="H157" s="26">
        <v>1500.1</v>
      </c>
      <c r="I157" s="52">
        <v>1384.9</v>
      </c>
      <c r="J157" s="44">
        <v>23066.6</v>
      </c>
      <c r="L157" s="56">
        <v>147</v>
      </c>
      <c r="M157" s="47">
        <f t="shared" si="14"/>
        <v>1.1650072111276643E-2</v>
      </c>
      <c r="N157" s="47">
        <f t="shared" si="15"/>
        <v>0.70199430671580143</v>
      </c>
      <c r="O157" s="47">
        <f t="shared" si="16"/>
        <v>1.0740692452916378E-2</v>
      </c>
      <c r="P157" s="47">
        <f t="shared" si="17"/>
        <v>1.9474490762292192E-2</v>
      </c>
      <c r="Q157" s="47">
        <f t="shared" si="18"/>
        <v>1.980404312614973E-2</v>
      </c>
      <c r="R157" s="57"/>
    </row>
    <row r="158" spans="3:18" x14ac:dyDescent="0.3">
      <c r="C158" s="8">
        <v>148</v>
      </c>
      <c r="D158" s="25">
        <v>45894</v>
      </c>
      <c r="E158" s="26">
        <v>1433.2</v>
      </c>
      <c r="F158" s="26">
        <v>1964.1</v>
      </c>
      <c r="G158" s="26">
        <v>1965.7</v>
      </c>
      <c r="H158" s="26">
        <v>1529.6</v>
      </c>
      <c r="I158" s="52">
        <v>1412.6</v>
      </c>
      <c r="J158" s="44">
        <v>22931.5</v>
      </c>
      <c r="L158" s="58">
        <v>148</v>
      </c>
      <c r="M158" s="47">
        <f t="shared" si="14"/>
        <v>2.2302769211290634E-3</v>
      </c>
      <c r="N158" s="47">
        <f t="shared" si="15"/>
        <v>2.5453712561391385E-4</v>
      </c>
      <c r="O158" s="47">
        <f t="shared" si="16"/>
        <v>8.9137080438892805E-3</v>
      </c>
      <c r="P158" s="47">
        <f t="shared" si="17"/>
        <v>1.6330800245711163E-3</v>
      </c>
      <c r="Q158" s="47">
        <f t="shared" si="18"/>
        <v>-2.4098105077391759E-3</v>
      </c>
      <c r="R158" s="57"/>
    </row>
    <row r="159" spans="3:18" x14ac:dyDescent="0.3">
      <c r="C159" s="8">
        <v>149</v>
      </c>
      <c r="D159" s="25">
        <v>45891</v>
      </c>
      <c r="E159" s="26">
        <v>1436.4</v>
      </c>
      <c r="F159" s="26">
        <v>1964.6</v>
      </c>
      <c r="G159" s="26">
        <v>1983.3</v>
      </c>
      <c r="H159" s="26">
        <v>1532.1</v>
      </c>
      <c r="I159" s="52">
        <v>1409.2</v>
      </c>
      <c r="J159" s="44">
        <v>22680.25</v>
      </c>
      <c r="L159" s="56">
        <v>149</v>
      </c>
      <c r="M159" s="47">
        <f t="shared" si="14"/>
        <v>6.6611403667822221E-3</v>
      </c>
      <c r="N159" s="47">
        <f t="shared" si="15"/>
        <v>1.3448809812613002E-2</v>
      </c>
      <c r="O159" s="47">
        <f t="shared" si="16"/>
        <v>1.6625107736134572E-3</v>
      </c>
      <c r="P159" s="47">
        <f t="shared" si="17"/>
        <v>-2.9542484901923041E-2</v>
      </c>
      <c r="Q159" s="47">
        <f t="shared" si="18"/>
        <v>1.1009285508369175E-2</v>
      </c>
      <c r="R159" s="57"/>
    </row>
    <row r="160" spans="3:18" x14ac:dyDescent="0.3">
      <c r="C160" s="8">
        <v>150</v>
      </c>
      <c r="D160" s="25">
        <v>45890</v>
      </c>
      <c r="E160" s="26">
        <v>1446</v>
      </c>
      <c r="F160" s="26">
        <v>1991.2</v>
      </c>
      <c r="G160" s="26">
        <v>1986.6</v>
      </c>
      <c r="H160" s="26">
        <v>1487.5</v>
      </c>
      <c r="I160" s="52">
        <v>1424.8</v>
      </c>
      <c r="J160" s="44">
        <v>22698.1</v>
      </c>
      <c r="L160" s="58">
        <v>150</v>
      </c>
      <c r="M160" s="47">
        <f t="shared" si="14"/>
        <v>-1.070718704442662E-2</v>
      </c>
      <c r="N160" s="47">
        <f t="shared" si="15"/>
        <v>-1.5077652753374502E-3</v>
      </c>
      <c r="O160" s="47">
        <f t="shared" si="16"/>
        <v>1.5583174193023411E-2</v>
      </c>
      <c r="P160" s="47">
        <f t="shared" si="17"/>
        <v>5.9653650542062214E-3</v>
      </c>
      <c r="Q160" s="47">
        <f t="shared" si="18"/>
        <v>-8.3163492909244553E-3</v>
      </c>
      <c r="R160" s="57"/>
    </row>
    <row r="161" spans="3:18" x14ac:dyDescent="0.3">
      <c r="C161" s="8">
        <v>151</v>
      </c>
      <c r="D161" s="25">
        <v>45889</v>
      </c>
      <c r="E161" s="26">
        <v>1430.6</v>
      </c>
      <c r="F161" s="26">
        <v>1988.2</v>
      </c>
      <c r="G161" s="26">
        <v>2017.8</v>
      </c>
      <c r="H161" s="26">
        <v>1496.4</v>
      </c>
      <c r="I161" s="52">
        <v>1413</v>
      </c>
      <c r="J161" s="44">
        <v>22568.6</v>
      </c>
      <c r="L161" s="56">
        <v>151</v>
      </c>
      <c r="M161" s="47">
        <f t="shared" si="14"/>
        <v>3.9764257634936897E-3</v>
      </c>
      <c r="N161" s="47">
        <f t="shared" si="15"/>
        <v>1.4575430419440912E-3</v>
      </c>
      <c r="O161" s="47">
        <f t="shared" si="16"/>
        <v>-1.4868783017508094E-4</v>
      </c>
      <c r="P161" s="47">
        <f t="shared" si="17"/>
        <v>-1.3366303568657046E-4</v>
      </c>
      <c r="Q161" s="47">
        <f t="shared" si="18"/>
        <v>5.0121879664399554E-3</v>
      </c>
      <c r="R161" s="57"/>
    </row>
    <row r="162" spans="3:18" x14ac:dyDescent="0.3">
      <c r="C162" s="8">
        <v>152</v>
      </c>
      <c r="D162" s="25">
        <v>45888</v>
      </c>
      <c r="E162" s="26">
        <v>1436.3</v>
      </c>
      <c r="F162" s="26">
        <v>1991.1</v>
      </c>
      <c r="G162" s="26">
        <v>2017.5</v>
      </c>
      <c r="H162" s="26">
        <v>1496.2</v>
      </c>
      <c r="I162" s="52">
        <v>1420.1</v>
      </c>
      <c r="J162" s="44">
        <v>22633.45</v>
      </c>
      <c r="L162" s="58">
        <v>152</v>
      </c>
      <c r="M162" s="47">
        <f t="shared" si="14"/>
        <v>-1.1842977454430328E-3</v>
      </c>
      <c r="N162" s="47">
        <f t="shared" si="15"/>
        <v>6.2583126634728264E-3</v>
      </c>
      <c r="O162" s="47">
        <f t="shared" si="16"/>
        <v>6.1274095946183471E-3</v>
      </c>
      <c r="P162" s="47">
        <f t="shared" si="17"/>
        <v>-3.8285446868258285E-2</v>
      </c>
      <c r="Q162" s="47">
        <f t="shared" si="18"/>
        <v>-2.7412666588343473E-2</v>
      </c>
      <c r="R162" s="57"/>
    </row>
    <row r="163" spans="3:18" x14ac:dyDescent="0.3">
      <c r="C163" s="8">
        <v>153</v>
      </c>
      <c r="D163" s="25">
        <v>45887</v>
      </c>
      <c r="E163" s="26">
        <v>1434.6</v>
      </c>
      <c r="F163" s="26">
        <v>2003.6</v>
      </c>
      <c r="G163" s="26">
        <v>2029.9</v>
      </c>
      <c r="H163" s="26">
        <v>1440</v>
      </c>
      <c r="I163" s="52">
        <v>1381.7</v>
      </c>
      <c r="J163" s="44">
        <v>22443.15</v>
      </c>
      <c r="L163" s="56">
        <v>153</v>
      </c>
      <c r="M163" s="47">
        <f t="shared" si="14"/>
        <v>-5.1015170566112511E-3</v>
      </c>
      <c r="N163" s="47">
        <f t="shared" si="15"/>
        <v>-6.2583126634727882E-3</v>
      </c>
      <c r="O163" s="47">
        <f t="shared" si="16"/>
        <v>-1.4139595082366417E-2</v>
      </c>
      <c r="P163" s="47">
        <f t="shared" si="17"/>
        <v>-2.9209284276636763E-3</v>
      </c>
      <c r="Q163" s="47">
        <f t="shared" si="18"/>
        <v>-5.7340022828426375E-3</v>
      </c>
      <c r="R163" s="57"/>
    </row>
    <row r="164" spans="3:18" x14ac:dyDescent="0.3">
      <c r="C164" s="8">
        <v>154</v>
      </c>
      <c r="D164" s="25">
        <v>45883</v>
      </c>
      <c r="E164" s="26">
        <v>1427.3</v>
      </c>
      <c r="F164" s="26">
        <v>1991.1</v>
      </c>
      <c r="G164" s="26">
        <v>2001.4</v>
      </c>
      <c r="H164" s="26">
        <v>1435.8</v>
      </c>
      <c r="I164" s="52">
        <v>1373.8</v>
      </c>
      <c r="J164" s="44">
        <v>22694.1</v>
      </c>
      <c r="L164" s="58">
        <v>154</v>
      </c>
      <c r="M164" s="47">
        <f t="shared" si="14"/>
        <v>-4.5644543978171342E-3</v>
      </c>
      <c r="N164" s="47">
        <f t="shared" si="15"/>
        <v>-5.4389014571541421E-3</v>
      </c>
      <c r="O164" s="47">
        <f t="shared" si="16"/>
        <v>-1.1659595350615354E-2</v>
      </c>
      <c r="P164" s="47">
        <f t="shared" si="17"/>
        <v>8.2539050176154011E-3</v>
      </c>
      <c r="Q164" s="47">
        <f t="shared" si="18"/>
        <v>6.3851617313832642E-3</v>
      </c>
      <c r="R164" s="57"/>
    </row>
    <row r="165" spans="3:18" x14ac:dyDescent="0.3">
      <c r="C165" s="8">
        <v>155</v>
      </c>
      <c r="D165" s="25">
        <v>45882</v>
      </c>
      <c r="E165" s="26">
        <v>1420.8</v>
      </c>
      <c r="F165" s="26">
        <v>1980.3</v>
      </c>
      <c r="G165" s="26">
        <v>1978.2</v>
      </c>
      <c r="H165" s="26">
        <v>1447.7</v>
      </c>
      <c r="I165" s="52">
        <v>1382.6</v>
      </c>
      <c r="J165" s="44">
        <v>22666.85</v>
      </c>
      <c r="L165" s="56">
        <v>155</v>
      </c>
      <c r="M165" s="47">
        <f t="shared" si="14"/>
        <v>8.4423812528049082E-4</v>
      </c>
      <c r="N165" s="47">
        <f t="shared" si="15"/>
        <v>-5.2655683405248453E-3</v>
      </c>
      <c r="O165" s="47">
        <f t="shared" si="16"/>
        <v>4.7908510908130078E-3</v>
      </c>
      <c r="P165" s="47">
        <f t="shared" si="17"/>
        <v>-1.4682099316060168E-2</v>
      </c>
      <c r="Q165" s="47">
        <f t="shared" si="18"/>
        <v>-1.5924722873161008E-3</v>
      </c>
      <c r="R165" s="57"/>
    </row>
    <row r="166" spans="3:18" x14ac:dyDescent="0.3">
      <c r="C166" s="8">
        <v>156</v>
      </c>
      <c r="D166" s="25">
        <v>45881</v>
      </c>
      <c r="E166" s="26">
        <v>1422</v>
      </c>
      <c r="F166" s="26">
        <v>1969.9</v>
      </c>
      <c r="G166" s="26">
        <v>1987.7</v>
      </c>
      <c r="H166" s="26">
        <v>1426.6</v>
      </c>
      <c r="I166" s="52">
        <v>1380.4</v>
      </c>
      <c r="J166" s="44">
        <v>22798.5</v>
      </c>
      <c r="L166" s="58">
        <v>156</v>
      </c>
      <c r="M166" s="47">
        <f t="shared" si="14"/>
        <v>1.0214879277514927E-2</v>
      </c>
      <c r="N166" s="47">
        <f t="shared" si="15"/>
        <v>1.2961976964572262E-2</v>
      </c>
      <c r="O166" s="47">
        <f t="shared" si="16"/>
        <v>-1.4544052452012587E-2</v>
      </c>
      <c r="P166" s="47">
        <f t="shared" si="17"/>
        <v>-1.7539556185556565E-3</v>
      </c>
      <c r="Q166" s="47">
        <f t="shared" si="18"/>
        <v>4.1928782600359578E-3</v>
      </c>
      <c r="R166" s="57"/>
    </row>
    <row r="167" spans="3:18" x14ac:dyDescent="0.3">
      <c r="C167" s="8">
        <v>157</v>
      </c>
      <c r="D167" s="25">
        <v>45880</v>
      </c>
      <c r="E167" s="26">
        <v>1436.6</v>
      </c>
      <c r="F167" s="26">
        <v>1995.6</v>
      </c>
      <c r="G167" s="26">
        <v>1959</v>
      </c>
      <c r="H167" s="26">
        <v>1424.1</v>
      </c>
      <c r="I167" s="52">
        <v>1386.2</v>
      </c>
      <c r="J167" s="44">
        <v>22860.400000000001</v>
      </c>
      <c r="L167" s="56">
        <v>157</v>
      </c>
      <c r="M167" s="47">
        <f t="shared" si="14"/>
        <v>-4.8738034036987019E-4</v>
      </c>
      <c r="N167" s="47">
        <f t="shared" si="15"/>
        <v>-1.0933475837940474E-2</v>
      </c>
      <c r="O167" s="47">
        <f t="shared" si="16"/>
        <v>8.5898517952310415E-3</v>
      </c>
      <c r="P167" s="47">
        <f t="shared" si="17"/>
        <v>2.8748748896277551E-3</v>
      </c>
      <c r="Q167" s="47">
        <f t="shared" si="18"/>
        <v>-1.3362580819888661E-2</v>
      </c>
      <c r="R167" s="57"/>
    </row>
    <row r="168" spans="3:18" x14ac:dyDescent="0.3">
      <c r="C168" s="8">
        <v>158</v>
      </c>
      <c r="D168" s="25">
        <v>45877</v>
      </c>
      <c r="E168" s="26">
        <v>1435.9</v>
      </c>
      <c r="F168" s="26">
        <v>1973.9</v>
      </c>
      <c r="G168" s="26">
        <v>1975.9</v>
      </c>
      <c r="H168" s="26">
        <v>1428.2</v>
      </c>
      <c r="I168" s="52">
        <v>1367.8</v>
      </c>
      <c r="J168" s="44">
        <v>22673.65</v>
      </c>
      <c r="L168" s="58">
        <v>158</v>
      </c>
      <c r="M168" s="47">
        <f t="shared" si="14"/>
        <v>3.0595949046730731E-3</v>
      </c>
      <c r="N168" s="47">
        <f t="shared" si="15"/>
        <v>1.0833250330464944E-2</v>
      </c>
      <c r="O168" s="47">
        <f t="shared" si="16"/>
        <v>-1.1810960493320493E-2</v>
      </c>
      <c r="P168" s="47">
        <f t="shared" si="17"/>
        <v>-3.5773194253954431E-3</v>
      </c>
      <c r="Q168" s="47">
        <f t="shared" si="18"/>
        <v>1.5668389594785035E-2</v>
      </c>
      <c r="R168" s="57"/>
    </row>
    <row r="169" spans="3:18" x14ac:dyDescent="0.3">
      <c r="C169" s="8">
        <v>159</v>
      </c>
      <c r="D169" s="25">
        <v>45876</v>
      </c>
      <c r="E169" s="26">
        <v>1440.3</v>
      </c>
      <c r="F169" s="26">
        <v>1995.4</v>
      </c>
      <c r="G169" s="26">
        <v>1952.7</v>
      </c>
      <c r="H169" s="26">
        <v>1423.1</v>
      </c>
      <c r="I169" s="52">
        <v>1389.4</v>
      </c>
      <c r="J169" s="44">
        <v>22914.95</v>
      </c>
      <c r="L169" s="56">
        <v>159</v>
      </c>
      <c r="M169" s="47">
        <f t="shared" si="14"/>
        <v>2.288568563629106E-3</v>
      </c>
      <c r="N169" s="47">
        <f t="shared" si="15"/>
        <v>-5.0744952763736133E-3</v>
      </c>
      <c r="O169" s="47">
        <f t="shared" si="16"/>
        <v>1.9976328441286793E-2</v>
      </c>
      <c r="P169" s="47">
        <f t="shared" si="17"/>
        <v>9.6504245455467288E-3</v>
      </c>
      <c r="Q169" s="47">
        <f t="shared" si="18"/>
        <v>2.4441101951987155E-3</v>
      </c>
      <c r="R169" s="57"/>
    </row>
    <row r="170" spans="3:18" x14ac:dyDescent="0.3">
      <c r="C170" s="8">
        <v>160</v>
      </c>
      <c r="D170" s="25">
        <v>45875</v>
      </c>
      <c r="E170" s="26">
        <v>1443.6</v>
      </c>
      <c r="F170" s="26">
        <v>1985.3</v>
      </c>
      <c r="G170" s="26">
        <v>1992.1</v>
      </c>
      <c r="H170" s="26">
        <v>1436.9</v>
      </c>
      <c r="I170" s="52">
        <v>1392.8</v>
      </c>
      <c r="J170" s="44">
        <v>23033.55</v>
      </c>
      <c r="L170" s="58">
        <v>160</v>
      </c>
      <c r="M170" s="47">
        <f t="shared" si="14"/>
        <v>5.5401663466926837E-4</v>
      </c>
      <c r="N170" s="47">
        <f t="shared" si="15"/>
        <v>-3.8860479396615444E-3</v>
      </c>
      <c r="O170" s="47">
        <f t="shared" si="16"/>
        <v>5.1571024298263978E-3</v>
      </c>
      <c r="P170" s="47">
        <f t="shared" si="17"/>
        <v>-1.3919821848765184E-4</v>
      </c>
      <c r="Q170" s="47">
        <f t="shared" si="18"/>
        <v>-7.9008802817148499E-4</v>
      </c>
      <c r="R170" s="57"/>
    </row>
    <row r="171" spans="3:18" x14ac:dyDescent="0.3">
      <c r="C171" s="8">
        <v>161</v>
      </c>
      <c r="D171" s="25">
        <v>45874</v>
      </c>
      <c r="E171" s="26">
        <v>1444.4</v>
      </c>
      <c r="F171" s="26">
        <v>1977.6</v>
      </c>
      <c r="G171" s="26">
        <v>2002.4</v>
      </c>
      <c r="H171" s="26">
        <v>1436.7</v>
      </c>
      <c r="I171" s="52">
        <v>1391.7</v>
      </c>
      <c r="J171" s="44">
        <v>23007.35</v>
      </c>
      <c r="L171" s="56">
        <v>161</v>
      </c>
      <c r="M171" s="47">
        <f t="shared" si="14"/>
        <v>1.2931807673353149E-2</v>
      </c>
      <c r="N171" s="47">
        <f t="shared" si="15"/>
        <v>7.2551708811720156E-3</v>
      </c>
      <c r="O171" s="47">
        <f t="shared" si="16"/>
        <v>2.9959554825369108E-4</v>
      </c>
      <c r="P171" s="47">
        <f t="shared" si="17"/>
        <v>1.6293077029752322E-2</v>
      </c>
      <c r="Q171" s="47">
        <f t="shared" si="18"/>
        <v>1.4126947267736261E-2</v>
      </c>
      <c r="R171" s="57"/>
    </row>
    <row r="172" spans="3:18" x14ac:dyDescent="0.3">
      <c r="C172" s="8">
        <v>162</v>
      </c>
      <c r="D172" s="25">
        <v>45873</v>
      </c>
      <c r="E172" s="26">
        <v>1463.2</v>
      </c>
      <c r="F172" s="26">
        <v>1992</v>
      </c>
      <c r="G172" s="26">
        <v>2003</v>
      </c>
      <c r="H172" s="26">
        <v>1460.3</v>
      </c>
      <c r="I172" s="52">
        <v>1411.5</v>
      </c>
      <c r="J172" s="44">
        <v>22846.95</v>
      </c>
      <c r="L172" s="58">
        <v>162</v>
      </c>
      <c r="M172" s="47">
        <f t="shared" si="14"/>
        <v>5.7244261539633606E-3</v>
      </c>
      <c r="N172" s="47">
        <f t="shared" si="15"/>
        <v>1.0089491713406859E-2</v>
      </c>
      <c r="O172" s="47">
        <f t="shared" si="16"/>
        <v>-3.000002250003003E-3</v>
      </c>
      <c r="P172" s="47">
        <f t="shared" si="17"/>
        <v>1.3737974495220307E-2</v>
      </c>
      <c r="Q172" s="47">
        <f t="shared" si="18"/>
        <v>-1.2690887568080044E-2</v>
      </c>
      <c r="R172" s="57"/>
    </row>
    <row r="173" spans="3:18" x14ac:dyDescent="0.3">
      <c r="C173" s="8">
        <v>163</v>
      </c>
      <c r="D173" s="25">
        <v>45870</v>
      </c>
      <c r="E173" s="26">
        <v>1471.6</v>
      </c>
      <c r="F173" s="26">
        <v>2012.2</v>
      </c>
      <c r="G173" s="26">
        <v>1997</v>
      </c>
      <c r="H173" s="26">
        <v>1480.5</v>
      </c>
      <c r="I173" s="52">
        <v>1393.7</v>
      </c>
      <c r="J173" s="44">
        <v>23014.799999999999</v>
      </c>
      <c r="L173" s="56">
        <v>163</v>
      </c>
      <c r="M173" s="47">
        <f t="shared" si="14"/>
        <v>6.6373423485696055E-3</v>
      </c>
      <c r="N173" s="47">
        <f t="shared" si="15"/>
        <v>2.9773741724781269E-3</v>
      </c>
      <c r="O173" s="47">
        <f t="shared" si="16"/>
        <v>-2.3061122166868168E-3</v>
      </c>
      <c r="P173" s="47">
        <f t="shared" si="17"/>
        <v>-7.3896136407301128E-3</v>
      </c>
      <c r="Q173" s="47">
        <f t="shared" si="18"/>
        <v>-2.5144594590784234E-3</v>
      </c>
      <c r="R173" s="57"/>
    </row>
    <row r="174" spans="3:18" x14ac:dyDescent="0.3">
      <c r="C174" s="8">
        <v>164</v>
      </c>
      <c r="D174" s="25">
        <v>45869</v>
      </c>
      <c r="E174" s="26">
        <v>1481.4</v>
      </c>
      <c r="F174" s="26">
        <v>2018.2</v>
      </c>
      <c r="G174" s="26">
        <v>1992.4</v>
      </c>
      <c r="H174" s="26">
        <v>1469.6</v>
      </c>
      <c r="I174" s="52">
        <v>1390.2</v>
      </c>
      <c r="J174" s="44">
        <v>23301.1</v>
      </c>
      <c r="L174" s="58">
        <v>164</v>
      </c>
      <c r="M174" s="47">
        <f t="shared" si="14"/>
        <v>6.7480939196130592E-4</v>
      </c>
      <c r="N174" s="47">
        <f t="shared" si="15"/>
        <v>3.7586592222684499E-3</v>
      </c>
      <c r="O174" s="47">
        <f t="shared" si="16"/>
        <v>-6.9504183100061743E-3</v>
      </c>
      <c r="P174" s="47">
        <f t="shared" si="17"/>
        <v>2.6456924866933157E-2</v>
      </c>
      <c r="Q174" s="47">
        <f t="shared" si="18"/>
        <v>1.4213002176798844E-2</v>
      </c>
      <c r="R174" s="57"/>
    </row>
    <row r="175" spans="3:18" x14ac:dyDescent="0.3">
      <c r="C175" s="8">
        <v>165</v>
      </c>
      <c r="D175" s="25">
        <v>45868</v>
      </c>
      <c r="E175" s="26">
        <v>1482.4</v>
      </c>
      <c r="F175" s="26">
        <v>2025.8</v>
      </c>
      <c r="G175" s="26">
        <v>1978.6</v>
      </c>
      <c r="H175" s="26">
        <v>1509</v>
      </c>
      <c r="I175" s="52">
        <v>1410.1</v>
      </c>
      <c r="J175" s="44">
        <v>23428.400000000001</v>
      </c>
      <c r="L175" s="56">
        <v>165</v>
      </c>
      <c r="M175" s="47">
        <f t="shared" si="14"/>
        <v>2.5601307522189155E-3</v>
      </c>
      <c r="N175" s="47">
        <f t="shared" si="15"/>
        <v>-2.0754071787123067E-3</v>
      </c>
      <c r="O175" s="47">
        <f t="shared" si="16"/>
        <v>-9.598123604113688E-3</v>
      </c>
      <c r="P175" s="47">
        <f t="shared" si="17"/>
        <v>6.6050438279240424E-3</v>
      </c>
      <c r="Q175" s="47">
        <f t="shared" si="18"/>
        <v>4.9519059876403163E-3</v>
      </c>
      <c r="R175" s="57"/>
    </row>
    <row r="176" spans="3:18" x14ac:dyDescent="0.3">
      <c r="C176" s="8">
        <v>166</v>
      </c>
      <c r="D176" s="25">
        <v>45867</v>
      </c>
      <c r="E176" s="26">
        <v>1486.2</v>
      </c>
      <c r="F176" s="26">
        <v>2021.6</v>
      </c>
      <c r="G176" s="26">
        <v>1959.7</v>
      </c>
      <c r="H176" s="26">
        <v>1519</v>
      </c>
      <c r="I176" s="52">
        <v>1417.1</v>
      </c>
      <c r="J176" s="44">
        <v>23320.9</v>
      </c>
      <c r="L176" s="58">
        <v>166</v>
      </c>
      <c r="M176" s="47">
        <f t="shared" si="14"/>
        <v>1.4791907490986369E-3</v>
      </c>
      <c r="N176" s="47">
        <f t="shared" si="15"/>
        <v>-6.501102274647506E-3</v>
      </c>
      <c r="O176" s="47">
        <f t="shared" si="16"/>
        <v>6.6117624648146175E-3</v>
      </c>
      <c r="P176" s="47">
        <f t="shared" si="17"/>
        <v>-3.4952388272533261E-3</v>
      </c>
      <c r="Q176" s="47">
        <f t="shared" si="18"/>
        <v>-2.1036893735230103E-2</v>
      </c>
      <c r="R176" s="57"/>
    </row>
    <row r="177" spans="3:18" x14ac:dyDescent="0.3">
      <c r="C177" s="8">
        <v>167</v>
      </c>
      <c r="D177" s="25">
        <v>45866</v>
      </c>
      <c r="E177" s="26">
        <v>1488.4</v>
      </c>
      <c r="F177" s="26">
        <v>2008.5</v>
      </c>
      <c r="G177" s="26">
        <v>1972.7</v>
      </c>
      <c r="H177" s="26">
        <v>1513.7</v>
      </c>
      <c r="I177" s="52">
        <v>1387.6</v>
      </c>
      <c r="J177" s="44">
        <v>23378.45</v>
      </c>
      <c r="L177" s="56">
        <v>167</v>
      </c>
      <c r="M177" s="47">
        <f t="shared" si="14"/>
        <v>-7.6210114259134508E-3</v>
      </c>
      <c r="N177" s="47">
        <f t="shared" si="15"/>
        <v>-1.9436352085711256E-3</v>
      </c>
      <c r="O177" s="47">
        <f t="shared" si="16"/>
        <v>-3.0969994037674049E-3</v>
      </c>
      <c r="P177" s="47">
        <f t="shared" si="17"/>
        <v>1.5183024337974218E-3</v>
      </c>
      <c r="Q177" s="47">
        <f t="shared" si="18"/>
        <v>2.9503853302131622E-3</v>
      </c>
      <c r="R177" s="57"/>
    </row>
    <row r="178" spans="3:18" x14ac:dyDescent="0.3">
      <c r="C178" s="8">
        <v>168</v>
      </c>
      <c r="D178" s="25">
        <v>45863</v>
      </c>
      <c r="E178" s="26">
        <v>1477.1</v>
      </c>
      <c r="F178" s="26">
        <v>2004.6</v>
      </c>
      <c r="G178" s="26">
        <v>1966.6</v>
      </c>
      <c r="H178" s="26">
        <v>1516</v>
      </c>
      <c r="I178" s="52">
        <v>1391.7</v>
      </c>
      <c r="J178" s="44">
        <v>23275.15</v>
      </c>
      <c r="L178" s="58">
        <v>168</v>
      </c>
      <c r="M178" s="47">
        <f t="shared" si="14"/>
        <v>4.2560442559037692E-3</v>
      </c>
      <c r="N178" s="47">
        <f t="shared" si="15"/>
        <v>4.7775546232783732E-3</v>
      </c>
      <c r="O178" s="47">
        <f t="shared" si="16"/>
        <v>7.727738599985727E-2</v>
      </c>
      <c r="P178" s="47">
        <f t="shared" si="17"/>
        <v>-1.9790876470567959E-4</v>
      </c>
      <c r="Q178" s="47">
        <f t="shared" si="18"/>
        <v>0</v>
      </c>
      <c r="R178" s="57"/>
    </row>
    <row r="179" spans="3:18" x14ac:dyDescent="0.3">
      <c r="C179" s="8">
        <v>169</v>
      </c>
      <c r="D179" s="25">
        <v>45862</v>
      </c>
      <c r="E179" s="26">
        <v>1483.4</v>
      </c>
      <c r="F179" s="26">
        <v>2014.2</v>
      </c>
      <c r="G179" s="26">
        <v>2124.6</v>
      </c>
      <c r="H179" s="26">
        <v>1515.7</v>
      </c>
      <c r="I179" s="52">
        <v>1391.7</v>
      </c>
      <c r="J179" s="44">
        <v>23419.7</v>
      </c>
      <c r="L179" s="56">
        <v>169</v>
      </c>
      <c r="M179" s="47">
        <f t="shared" si="14"/>
        <v>3.4993306233524067E-3</v>
      </c>
      <c r="N179" s="47">
        <f t="shared" si="15"/>
        <v>5.0018675534874392E-3</v>
      </c>
      <c r="O179" s="47">
        <f t="shared" si="16"/>
        <v>8.2031069128573764E-3</v>
      </c>
      <c r="P179" s="47">
        <f t="shared" si="17"/>
        <v>2.3989156370022576E-2</v>
      </c>
      <c r="Q179" s="47">
        <f t="shared" si="18"/>
        <v>8.0155012989190696E-3</v>
      </c>
      <c r="R179" s="57"/>
    </row>
    <row r="180" spans="3:18" x14ac:dyDescent="0.3">
      <c r="C180" s="8">
        <v>170</v>
      </c>
      <c r="D180" s="25">
        <v>45861</v>
      </c>
      <c r="E180" s="26">
        <v>1488.6</v>
      </c>
      <c r="F180" s="26">
        <v>2024.3</v>
      </c>
      <c r="G180" s="26">
        <v>2142.1</v>
      </c>
      <c r="H180" s="26">
        <v>1552.5</v>
      </c>
      <c r="I180" s="52">
        <v>1402.9</v>
      </c>
      <c r="J180" s="44">
        <v>23472.5</v>
      </c>
      <c r="L180" s="58">
        <v>170</v>
      </c>
      <c r="M180" s="47">
        <f t="shared" si="14"/>
        <v>-1.0127694424767943E-2</v>
      </c>
      <c r="N180" s="47">
        <f t="shared" si="15"/>
        <v>-8.533067602084287E-3</v>
      </c>
      <c r="O180" s="47">
        <f t="shared" si="16"/>
        <v>1.3124826085951655E-2</v>
      </c>
      <c r="P180" s="47">
        <f t="shared" si="17"/>
        <v>1.4071226733445612E-2</v>
      </c>
      <c r="Q180" s="47">
        <f t="shared" si="18"/>
        <v>1.5349549819526761E-2</v>
      </c>
      <c r="R180" s="57"/>
    </row>
    <row r="181" spans="3:18" x14ac:dyDescent="0.3">
      <c r="C181" s="8">
        <v>171</v>
      </c>
      <c r="D181" s="25">
        <v>45860</v>
      </c>
      <c r="E181" s="26">
        <v>1473.6</v>
      </c>
      <c r="F181" s="26">
        <v>2007.1</v>
      </c>
      <c r="G181" s="26">
        <v>2170.4</v>
      </c>
      <c r="H181" s="26">
        <v>1574.5</v>
      </c>
      <c r="I181" s="52">
        <v>1424.6</v>
      </c>
      <c r="J181" s="44">
        <v>23449.15</v>
      </c>
      <c r="L181" s="56">
        <v>171</v>
      </c>
      <c r="M181" s="47">
        <f t="shared" si="14"/>
        <v>-5.3072180092925605E-3</v>
      </c>
      <c r="N181" s="47">
        <f t="shared" si="15"/>
        <v>-3.2937448681576529E-3</v>
      </c>
      <c r="O181" s="47">
        <f t="shared" si="16"/>
        <v>-4.7106723603483726E-3</v>
      </c>
      <c r="P181" s="47">
        <f t="shared" si="17"/>
        <v>-2.2890580351851556E-3</v>
      </c>
      <c r="Q181" s="47">
        <f t="shared" si="18"/>
        <v>-8.3175216945578379E-3</v>
      </c>
      <c r="R181" s="57"/>
    </row>
    <row r="182" spans="3:18" x14ac:dyDescent="0.3">
      <c r="C182" s="8">
        <v>172</v>
      </c>
      <c r="D182" s="25">
        <v>45859</v>
      </c>
      <c r="E182" s="26">
        <v>1465.8</v>
      </c>
      <c r="F182" s="26">
        <v>2000.5</v>
      </c>
      <c r="G182" s="26">
        <v>2160.1999999999998</v>
      </c>
      <c r="H182" s="26">
        <v>1570.9</v>
      </c>
      <c r="I182" s="52">
        <v>1412.8</v>
      </c>
      <c r="J182" s="44">
        <v>23309.05</v>
      </c>
      <c r="L182" s="58">
        <v>172</v>
      </c>
      <c r="M182" s="47">
        <f t="shared" si="14"/>
        <v>-2.7668108808221716E-2</v>
      </c>
      <c r="N182" s="47">
        <f t="shared" si="15"/>
        <v>-2.1780087305570493E-2</v>
      </c>
      <c r="O182" s="47">
        <f t="shared" si="16"/>
        <v>2.3119259384490401E-3</v>
      </c>
      <c r="P182" s="47">
        <f t="shared" si="17"/>
        <v>8.4939658751030569E-3</v>
      </c>
      <c r="Q182" s="47">
        <f t="shared" si="18"/>
        <v>1.1121392871176439E-2</v>
      </c>
      <c r="R182" s="57"/>
    </row>
    <row r="183" spans="3:18" x14ac:dyDescent="0.3">
      <c r="C183" s="8">
        <v>173</v>
      </c>
      <c r="D183" s="25">
        <v>45856</v>
      </c>
      <c r="E183" s="26">
        <v>1425.8</v>
      </c>
      <c r="F183" s="26">
        <v>1957.4</v>
      </c>
      <c r="G183" s="26">
        <v>2165.1999999999998</v>
      </c>
      <c r="H183" s="26">
        <v>1584.3</v>
      </c>
      <c r="I183" s="52">
        <v>1428.6</v>
      </c>
      <c r="J183" s="44">
        <v>23282.7</v>
      </c>
      <c r="L183" s="56">
        <v>173</v>
      </c>
      <c r="M183" s="47">
        <f t="shared" si="14"/>
        <v>-4.9921003655882682E-3</v>
      </c>
      <c r="N183" s="47">
        <f t="shared" si="15"/>
        <v>1.4958573167324313E-2</v>
      </c>
      <c r="O183" s="47">
        <f t="shared" si="16"/>
        <v>-1.1473289337821975E-2</v>
      </c>
      <c r="P183" s="47">
        <f t="shared" si="17"/>
        <v>1.1355035285169758E-3</v>
      </c>
      <c r="Q183" s="47">
        <f t="shared" si="18"/>
        <v>3.2640782439545726E-2</v>
      </c>
      <c r="R183" s="57"/>
    </row>
    <row r="184" spans="3:18" x14ac:dyDescent="0.3">
      <c r="C184" s="8">
        <v>174</v>
      </c>
      <c r="D184" s="25">
        <v>45855</v>
      </c>
      <c r="E184" s="26">
        <v>1418.7</v>
      </c>
      <c r="F184" s="26">
        <v>1986.9</v>
      </c>
      <c r="G184" s="26">
        <v>2140.5</v>
      </c>
      <c r="H184" s="26">
        <v>1586.1</v>
      </c>
      <c r="I184" s="52">
        <v>1476</v>
      </c>
      <c r="J184" s="44">
        <v>23471.4</v>
      </c>
      <c r="L184" s="58">
        <v>174</v>
      </c>
      <c r="M184" s="47">
        <f t="shared" si="14"/>
        <v>5.412828230990885E-3</v>
      </c>
      <c r="N184" s="47">
        <f t="shared" si="15"/>
        <v>4.7198320195645039E-3</v>
      </c>
      <c r="O184" s="47">
        <f t="shared" si="16"/>
        <v>1.4056316604248959E-2</v>
      </c>
      <c r="P184" s="47">
        <f t="shared" si="17"/>
        <v>-1.6405859308196425E-3</v>
      </c>
      <c r="Q184" s="47">
        <f t="shared" si="18"/>
        <v>2.7096599542582404E-4</v>
      </c>
      <c r="R184" s="57"/>
    </row>
    <row r="185" spans="3:18" x14ac:dyDescent="0.3">
      <c r="C185" s="8">
        <v>175</v>
      </c>
      <c r="D185" s="25">
        <v>45854</v>
      </c>
      <c r="E185" s="26">
        <v>1426.4</v>
      </c>
      <c r="F185" s="26">
        <v>1996.3</v>
      </c>
      <c r="G185" s="26">
        <v>2170.8000000000002</v>
      </c>
      <c r="H185" s="26">
        <v>1583.5</v>
      </c>
      <c r="I185" s="52">
        <v>1476.4</v>
      </c>
      <c r="J185" s="44">
        <v>23557.45</v>
      </c>
      <c r="L185" s="56">
        <v>175</v>
      </c>
      <c r="M185" s="47">
        <f t="shared" si="14"/>
        <v>3.0799408359319246E-3</v>
      </c>
      <c r="N185" s="47">
        <f t="shared" si="15"/>
        <v>-4.0082168981939192E-4</v>
      </c>
      <c r="O185" s="47">
        <f t="shared" si="16"/>
        <v>3.9538463535360229E-3</v>
      </c>
      <c r="P185" s="47">
        <f t="shared" si="17"/>
        <v>1.5291392771671455E-2</v>
      </c>
      <c r="Q185" s="47">
        <f t="shared" si="18"/>
        <v>6.2120388826523102E-3</v>
      </c>
      <c r="R185" s="57"/>
    </row>
    <row r="186" spans="3:18" x14ac:dyDescent="0.3">
      <c r="C186" s="8">
        <v>176</v>
      </c>
      <c r="D186" s="25">
        <v>45853</v>
      </c>
      <c r="E186" s="26">
        <v>1430.8</v>
      </c>
      <c r="F186" s="26">
        <v>1995.5</v>
      </c>
      <c r="G186" s="26">
        <v>2179.4</v>
      </c>
      <c r="H186" s="26">
        <v>1607.9</v>
      </c>
      <c r="I186" s="52">
        <v>1485.6</v>
      </c>
      <c r="J186" s="44">
        <v>23572.55</v>
      </c>
      <c r="L186" s="58">
        <v>176</v>
      </c>
      <c r="M186" s="47">
        <f t="shared" si="14"/>
        <v>-5.4664092950102924E-3</v>
      </c>
      <c r="N186" s="47">
        <f t="shared" si="15"/>
        <v>-6.2837959689925884E-3</v>
      </c>
      <c r="O186" s="47">
        <f t="shared" si="16"/>
        <v>3.9839777938199348E-3</v>
      </c>
      <c r="P186" s="47">
        <f t="shared" si="17"/>
        <v>-1.3966095174642394E-2</v>
      </c>
      <c r="Q186" s="47">
        <f t="shared" si="18"/>
        <v>-1.3463480329982955E-4</v>
      </c>
      <c r="R186" s="57"/>
    </row>
    <row r="187" spans="3:18" x14ac:dyDescent="0.3">
      <c r="C187" s="8">
        <v>177</v>
      </c>
      <c r="D187" s="25">
        <v>45852</v>
      </c>
      <c r="E187" s="26">
        <v>1423</v>
      </c>
      <c r="F187" s="26">
        <v>1983</v>
      </c>
      <c r="G187" s="26">
        <v>2188.1</v>
      </c>
      <c r="H187" s="26">
        <v>1585.6</v>
      </c>
      <c r="I187" s="52">
        <v>1485.4</v>
      </c>
      <c r="J187" s="44">
        <v>23551.200000000001</v>
      </c>
      <c r="L187" s="56">
        <v>177</v>
      </c>
      <c r="M187" s="47">
        <f t="shared" si="14"/>
        <v>-7.7331368752356908E-4</v>
      </c>
      <c r="N187" s="47">
        <f t="shared" si="15"/>
        <v>0</v>
      </c>
      <c r="O187" s="47">
        <f t="shared" si="16"/>
        <v>7.1495557170710303E-3</v>
      </c>
      <c r="P187" s="47">
        <f t="shared" si="17"/>
        <v>-9.6962006848153783E-3</v>
      </c>
      <c r="Q187" s="47">
        <f t="shared" si="18"/>
        <v>-1.1451282784480962E-3</v>
      </c>
      <c r="R187" s="57"/>
    </row>
    <row r="188" spans="3:18" x14ac:dyDescent="0.3">
      <c r="C188" s="8">
        <v>178</v>
      </c>
      <c r="D188" s="25">
        <v>45849</v>
      </c>
      <c r="E188" s="26">
        <v>1421.9</v>
      </c>
      <c r="F188" s="26">
        <v>1983</v>
      </c>
      <c r="G188" s="26">
        <v>2203.8000000000002</v>
      </c>
      <c r="H188" s="26">
        <v>1570.3</v>
      </c>
      <c r="I188" s="52">
        <v>1483.7</v>
      </c>
      <c r="J188" s="44">
        <v>23562.45</v>
      </c>
      <c r="L188" s="58">
        <v>178</v>
      </c>
      <c r="M188" s="47">
        <f t="shared" si="14"/>
        <v>1.5460298230532551E-3</v>
      </c>
      <c r="N188" s="47">
        <f t="shared" si="15"/>
        <v>3.5293821426693261E-4</v>
      </c>
      <c r="O188" s="47">
        <f t="shared" si="16"/>
        <v>7.5942865664885787E-3</v>
      </c>
      <c r="P188" s="47">
        <f t="shared" si="17"/>
        <v>1.5544354437800379E-2</v>
      </c>
      <c r="Q188" s="47">
        <f t="shared" si="18"/>
        <v>7.7210091846052287E-3</v>
      </c>
      <c r="R188" s="57"/>
    </row>
    <row r="189" spans="3:18" x14ac:dyDescent="0.3">
      <c r="C189" s="8">
        <v>179</v>
      </c>
      <c r="D189" s="25">
        <v>45848</v>
      </c>
      <c r="E189" s="26">
        <v>1424.1</v>
      </c>
      <c r="F189" s="26">
        <v>1983.7</v>
      </c>
      <c r="G189" s="26">
        <v>2220.6</v>
      </c>
      <c r="H189" s="26">
        <v>1594.9</v>
      </c>
      <c r="I189" s="52">
        <v>1495.2</v>
      </c>
      <c r="J189" s="44">
        <v>23521.85</v>
      </c>
      <c r="L189" s="56">
        <v>179</v>
      </c>
      <c r="M189" s="47">
        <f t="shared" si="14"/>
        <v>5.4621984545786019E-3</v>
      </c>
      <c r="N189" s="47">
        <f t="shared" si="15"/>
        <v>1.1278597715321931E-2</v>
      </c>
      <c r="O189" s="47">
        <f t="shared" si="16"/>
        <v>-7.594286566488551E-3</v>
      </c>
      <c r="P189" s="47">
        <f t="shared" si="17"/>
        <v>1.301915171689981E-2</v>
      </c>
      <c r="Q189" s="47">
        <f t="shared" si="18"/>
        <v>1.4606553673390813E-2</v>
      </c>
      <c r="R189" s="57"/>
    </row>
    <row r="190" spans="3:18" x14ac:dyDescent="0.3">
      <c r="C190" s="8">
        <v>180</v>
      </c>
      <c r="D190" s="25">
        <v>45847</v>
      </c>
      <c r="E190" s="26">
        <v>1431.9</v>
      </c>
      <c r="F190" s="26">
        <v>2006.2</v>
      </c>
      <c r="G190" s="26">
        <v>2203.8000000000002</v>
      </c>
      <c r="H190" s="26">
        <v>1615.8</v>
      </c>
      <c r="I190" s="52">
        <v>1517.2</v>
      </c>
      <c r="J190" s="44">
        <v>23547.25</v>
      </c>
      <c r="L190" s="58">
        <v>180</v>
      </c>
      <c r="M190" s="47">
        <f t="shared" si="14"/>
        <v>7.0288051649338174E-3</v>
      </c>
      <c r="N190" s="47">
        <f t="shared" si="15"/>
        <v>2.4891733865982169E-3</v>
      </c>
      <c r="O190" s="47">
        <f t="shared" si="16"/>
        <v>1.1504491777856573E-2</v>
      </c>
      <c r="P190" s="47">
        <f t="shared" si="17"/>
        <v>1.1017190986854646E-2</v>
      </c>
      <c r="Q190" s="47">
        <f t="shared" si="18"/>
        <v>1.1856927810289426E-3</v>
      </c>
      <c r="R190" s="57"/>
    </row>
    <row r="191" spans="3:18" x14ac:dyDescent="0.3">
      <c r="C191" s="8">
        <v>181</v>
      </c>
      <c r="D191" s="25">
        <v>45846</v>
      </c>
      <c r="E191" s="26">
        <v>1442</v>
      </c>
      <c r="F191" s="26">
        <v>2011.2</v>
      </c>
      <c r="G191" s="26">
        <v>2229.3000000000002</v>
      </c>
      <c r="H191" s="26">
        <v>1633.7</v>
      </c>
      <c r="I191" s="52">
        <v>1519</v>
      </c>
      <c r="J191" s="44">
        <v>23615.45</v>
      </c>
      <c r="L191" s="56">
        <v>181</v>
      </c>
      <c r="M191" s="47">
        <f t="shared" si="14"/>
        <v>-4.3785037112461286E-3</v>
      </c>
      <c r="N191" s="47">
        <f t="shared" si="15"/>
        <v>-4.8846231796272213E-3</v>
      </c>
      <c r="O191" s="47">
        <f t="shared" si="16"/>
        <v>-2.1554635854368134E-3</v>
      </c>
      <c r="P191" s="47">
        <f t="shared" si="17"/>
        <v>3.0558635197154372E-3</v>
      </c>
      <c r="Q191" s="47">
        <f t="shared" si="18"/>
        <v>1.2170535620255114E-2</v>
      </c>
      <c r="R191" s="57"/>
    </row>
    <row r="192" spans="3:18" x14ac:dyDescent="0.3">
      <c r="C192" s="8">
        <v>182</v>
      </c>
      <c r="D192" s="25">
        <v>45845</v>
      </c>
      <c r="E192" s="26">
        <v>1435.7</v>
      </c>
      <c r="F192" s="26">
        <v>2001.4</v>
      </c>
      <c r="G192" s="26">
        <v>2224.5</v>
      </c>
      <c r="H192" s="26">
        <v>1638.7</v>
      </c>
      <c r="I192" s="52">
        <v>1537.6</v>
      </c>
      <c r="J192" s="44">
        <v>23617.200000000001</v>
      </c>
      <c r="L192" s="58">
        <v>182</v>
      </c>
      <c r="M192" s="47">
        <f t="shared" si="14"/>
        <v>4.9331348957357335E-3</v>
      </c>
      <c r="N192" s="47">
        <f t="shared" si="15"/>
        <v>-7.0196838590927176E-3</v>
      </c>
      <c r="O192" s="47">
        <f t="shared" si="16"/>
        <v>-3.4157356707133289E-2</v>
      </c>
      <c r="P192" s="47">
        <f t="shared" si="17"/>
        <v>-7.1654163331405663E-3</v>
      </c>
      <c r="Q192" s="47">
        <f t="shared" si="18"/>
        <v>2.5332091101770244E-3</v>
      </c>
      <c r="R192" s="57"/>
    </row>
    <row r="193" spans="3:18" x14ac:dyDescent="0.3">
      <c r="C193" s="8">
        <v>183</v>
      </c>
      <c r="D193" s="25">
        <v>45842</v>
      </c>
      <c r="E193" s="26">
        <v>1442.8</v>
      </c>
      <c r="F193" s="26">
        <v>1987.4</v>
      </c>
      <c r="G193" s="26">
        <v>2149.8000000000002</v>
      </c>
      <c r="H193" s="26">
        <v>1627</v>
      </c>
      <c r="I193" s="52">
        <v>1541.5</v>
      </c>
      <c r="J193" s="44">
        <v>23620.15</v>
      </c>
      <c r="L193" s="56">
        <v>183</v>
      </c>
      <c r="M193" s="47">
        <f t="shared" si="14"/>
        <v>-1.1782476741310371E-2</v>
      </c>
      <c r="N193" s="47">
        <f t="shared" si="15"/>
        <v>9.5556624566863586E-4</v>
      </c>
      <c r="O193" s="47">
        <f t="shared" si="16"/>
        <v>-9.3467359576797776E-3</v>
      </c>
      <c r="P193" s="47">
        <f t="shared" si="17"/>
        <v>8.385151801798869E-3</v>
      </c>
      <c r="Q193" s="47">
        <f t="shared" si="18"/>
        <v>-9.2544977498050327E-3</v>
      </c>
      <c r="R193" s="57"/>
    </row>
    <row r="194" spans="3:18" x14ac:dyDescent="0.3">
      <c r="C194" s="8">
        <v>184</v>
      </c>
      <c r="D194" s="25">
        <v>45841</v>
      </c>
      <c r="E194" s="26">
        <v>1425.9</v>
      </c>
      <c r="F194" s="26">
        <v>1989.3</v>
      </c>
      <c r="G194" s="26">
        <v>2129.8000000000002</v>
      </c>
      <c r="H194" s="26">
        <v>1640.7</v>
      </c>
      <c r="I194" s="52">
        <v>1527.3</v>
      </c>
      <c r="J194" s="44">
        <v>23517.55</v>
      </c>
      <c r="L194" s="58">
        <v>184</v>
      </c>
      <c r="M194" s="47">
        <f t="shared" si="14"/>
        <v>1.3316047802865614E-3</v>
      </c>
      <c r="N194" s="47">
        <f t="shared" si="15"/>
        <v>-1.1065286311610228E-3</v>
      </c>
      <c r="O194" s="47">
        <f t="shared" si="16"/>
        <v>-1.5036183642976851E-3</v>
      </c>
      <c r="P194" s="47">
        <f t="shared" si="17"/>
        <v>-1.3499622080921989E-2</v>
      </c>
      <c r="Q194" s="47">
        <f t="shared" si="18"/>
        <v>-6.239552606587582E-3</v>
      </c>
      <c r="R194" s="57"/>
    </row>
    <row r="195" spans="3:18" x14ac:dyDescent="0.3">
      <c r="C195" s="8">
        <v>185</v>
      </c>
      <c r="D195" s="25">
        <v>45840</v>
      </c>
      <c r="E195" s="26">
        <v>1427.8</v>
      </c>
      <c r="F195" s="26">
        <v>1987.1</v>
      </c>
      <c r="G195" s="26">
        <v>2126.6</v>
      </c>
      <c r="H195" s="26">
        <v>1618.7</v>
      </c>
      <c r="I195" s="52">
        <v>1517.8</v>
      </c>
      <c r="J195" s="44">
        <v>23296.85</v>
      </c>
      <c r="L195" s="56">
        <v>185</v>
      </c>
      <c r="M195" s="47">
        <f t="shared" si="14"/>
        <v>2.9372704522308292E-3</v>
      </c>
      <c r="N195" s="47">
        <f t="shared" si="15"/>
        <v>-5.5372380665261981E-4</v>
      </c>
      <c r="O195" s="47">
        <f t="shared" si="16"/>
        <v>1.9787874742604704E-2</v>
      </c>
      <c r="P195" s="47">
        <f t="shared" si="17"/>
        <v>-5.0786681686613312E-3</v>
      </c>
      <c r="Q195" s="47">
        <f t="shared" si="18"/>
        <v>6.5863138783490754E-4</v>
      </c>
      <c r="R195" s="57"/>
    </row>
    <row r="196" spans="3:18" x14ac:dyDescent="0.3">
      <c r="C196" s="8">
        <v>186</v>
      </c>
      <c r="D196" s="25">
        <v>45839</v>
      </c>
      <c r="E196" s="26">
        <v>1432</v>
      </c>
      <c r="F196" s="26">
        <v>1986</v>
      </c>
      <c r="G196" s="26">
        <v>2169.1</v>
      </c>
      <c r="H196" s="26">
        <v>1610.5</v>
      </c>
      <c r="I196" s="52">
        <v>1518.8</v>
      </c>
      <c r="J196" s="44">
        <v>23113.200000000001</v>
      </c>
      <c r="L196" s="58">
        <v>186</v>
      </c>
      <c r="M196" s="47">
        <f t="shared" si="14"/>
        <v>9.5907330456058357E-3</v>
      </c>
      <c r="N196" s="47">
        <f t="shared" si="15"/>
        <v>1.3056387168683395E-2</v>
      </c>
      <c r="O196" s="47">
        <f t="shared" si="16"/>
        <v>6.6625559480120973E-3</v>
      </c>
      <c r="P196" s="47">
        <f t="shared" si="17"/>
        <v>-2.3000662861264068E-3</v>
      </c>
      <c r="Q196" s="47">
        <f t="shared" si="18"/>
        <v>6.3008872150977285E-3</v>
      </c>
      <c r="R196" s="57"/>
    </row>
    <row r="197" spans="3:18" x14ac:dyDescent="0.3">
      <c r="C197" s="8">
        <v>187</v>
      </c>
      <c r="D197" s="25">
        <v>45838</v>
      </c>
      <c r="E197" s="26">
        <v>1445.8</v>
      </c>
      <c r="F197" s="26">
        <v>2012.1</v>
      </c>
      <c r="G197" s="26">
        <v>2183.6</v>
      </c>
      <c r="H197" s="26">
        <v>1606.8</v>
      </c>
      <c r="I197" s="52">
        <v>1528.4</v>
      </c>
      <c r="J197" s="44">
        <v>23001.5</v>
      </c>
      <c r="L197" s="56">
        <v>187</v>
      </c>
      <c r="M197" s="47">
        <f t="shared" si="14"/>
        <v>1.1279349293018799E-2</v>
      </c>
      <c r="N197" s="47">
        <f t="shared" si="15"/>
        <v>-5.2820533411729129E-3</v>
      </c>
      <c r="O197" s="47">
        <f t="shared" si="16"/>
        <v>-9.2476102426630423E-3</v>
      </c>
      <c r="P197" s="47">
        <f t="shared" si="17"/>
        <v>-3.1166265955452025E-3</v>
      </c>
      <c r="Q197" s="47">
        <f t="shared" si="18"/>
        <v>-1.8356408461116629E-2</v>
      </c>
      <c r="R197" s="57"/>
    </row>
    <row r="198" spans="3:18" x14ac:dyDescent="0.3">
      <c r="C198" s="8">
        <v>188</v>
      </c>
      <c r="D198" s="25">
        <v>45835</v>
      </c>
      <c r="E198" s="26">
        <v>1462.2</v>
      </c>
      <c r="F198" s="26">
        <v>2001.5</v>
      </c>
      <c r="G198" s="26">
        <v>2163.5</v>
      </c>
      <c r="H198" s="26">
        <v>1601.8</v>
      </c>
      <c r="I198" s="52">
        <v>1500.6</v>
      </c>
      <c r="J198" s="44">
        <v>23041.1</v>
      </c>
      <c r="L198" s="58">
        <v>188</v>
      </c>
      <c r="M198" s="47">
        <f t="shared" si="14"/>
        <v>-1.5924232683087701E-2</v>
      </c>
      <c r="N198" s="47">
        <f t="shared" si="15"/>
        <v>6.672666925092244E-3</v>
      </c>
      <c r="O198" s="47">
        <f t="shared" si="16"/>
        <v>2.0314556851357649E-2</v>
      </c>
      <c r="P198" s="47">
        <f t="shared" si="17"/>
        <v>3.8631738493298475E-3</v>
      </c>
      <c r="Q198" s="47">
        <f t="shared" si="18"/>
        <v>9.8144023856447677E-3</v>
      </c>
      <c r="R198" s="57"/>
    </row>
    <row r="199" spans="3:18" x14ac:dyDescent="0.3">
      <c r="C199" s="8">
        <v>189</v>
      </c>
      <c r="D199" s="25">
        <v>45834</v>
      </c>
      <c r="E199" s="26">
        <v>1439.1</v>
      </c>
      <c r="F199" s="26">
        <v>2014.9</v>
      </c>
      <c r="G199" s="26">
        <v>2207.9</v>
      </c>
      <c r="H199" s="26">
        <v>1608</v>
      </c>
      <c r="I199" s="52">
        <v>1515.4</v>
      </c>
      <c r="J199" s="44">
        <v>22763.5</v>
      </c>
      <c r="L199" s="56">
        <v>189</v>
      </c>
      <c r="M199" s="47">
        <f t="shared" si="14"/>
        <v>-9.2848584925998359E-3</v>
      </c>
      <c r="N199" s="47">
        <f t="shared" si="15"/>
        <v>3.4186373622367675E-3</v>
      </c>
      <c r="O199" s="47">
        <f t="shared" si="16"/>
        <v>-1.8133193236511936E-3</v>
      </c>
      <c r="P199" s="47">
        <f t="shared" si="17"/>
        <v>4.9627893421290972E-3</v>
      </c>
      <c r="Q199" s="47">
        <f t="shared" si="18"/>
        <v>-1.3352574907475078E-2</v>
      </c>
      <c r="R199" s="57"/>
    </row>
    <row r="200" spans="3:18" x14ac:dyDescent="0.3">
      <c r="C200" s="8">
        <v>190</v>
      </c>
      <c r="D200" s="25">
        <v>45833</v>
      </c>
      <c r="E200" s="26">
        <v>1425.8</v>
      </c>
      <c r="F200" s="26">
        <v>2021.8</v>
      </c>
      <c r="G200" s="26">
        <v>2203.9</v>
      </c>
      <c r="H200" s="26">
        <v>1616</v>
      </c>
      <c r="I200" s="52">
        <v>1495.3</v>
      </c>
      <c r="J200" s="44">
        <v>22925.200000000001</v>
      </c>
      <c r="L200" s="58">
        <v>190</v>
      </c>
      <c r="M200" s="47">
        <f t="shared" si="14"/>
        <v>-1.193024458146048E-3</v>
      </c>
      <c r="N200" s="47">
        <f t="shared" si="15"/>
        <v>-2.0790354031542866E-2</v>
      </c>
      <c r="O200" s="47">
        <f t="shared" si="16"/>
        <v>-2.5441838265743834E-3</v>
      </c>
      <c r="P200" s="47">
        <f t="shared" si="17"/>
        <v>-6.809248460193188E-4</v>
      </c>
      <c r="Q200" s="47">
        <f t="shared" si="18"/>
        <v>-1.8902878376376803E-2</v>
      </c>
      <c r="R200" s="57"/>
    </row>
    <row r="201" spans="3:18" x14ac:dyDescent="0.3">
      <c r="C201" s="8">
        <v>191</v>
      </c>
      <c r="D201" s="25">
        <v>45832</v>
      </c>
      <c r="E201" s="26">
        <v>1424.1</v>
      </c>
      <c r="F201" s="26">
        <v>1980.2</v>
      </c>
      <c r="G201" s="26">
        <v>2198.3000000000002</v>
      </c>
      <c r="H201" s="26">
        <v>1614.9</v>
      </c>
      <c r="I201" s="52">
        <v>1467.3</v>
      </c>
      <c r="J201" s="44">
        <v>22981.5</v>
      </c>
      <c r="L201" s="56">
        <v>191</v>
      </c>
      <c r="M201" s="47">
        <f t="shared" si="14"/>
        <v>-2.8127435744146837E-3</v>
      </c>
      <c r="N201" s="47">
        <f t="shared" si="15"/>
        <v>-9.7942981829431362E-3</v>
      </c>
      <c r="O201" s="47">
        <f t="shared" si="16"/>
        <v>1.1443169713242879E-2</v>
      </c>
      <c r="P201" s="47">
        <f t="shared" si="17"/>
        <v>-2.0836042378614261E-2</v>
      </c>
      <c r="Q201" s="47">
        <f t="shared" si="18"/>
        <v>-1.1308848804673864E-2</v>
      </c>
      <c r="R201" s="57"/>
    </row>
    <row r="202" spans="3:18" x14ac:dyDescent="0.3">
      <c r="C202" s="8">
        <v>192</v>
      </c>
      <c r="D202" s="25">
        <v>45831</v>
      </c>
      <c r="E202" s="26">
        <v>1420.1</v>
      </c>
      <c r="F202" s="26">
        <v>1960.9</v>
      </c>
      <c r="G202" s="26">
        <v>2223.6</v>
      </c>
      <c r="H202" s="26">
        <v>1581.6</v>
      </c>
      <c r="I202" s="52">
        <v>1450.8</v>
      </c>
      <c r="J202" s="44">
        <v>23095.05</v>
      </c>
      <c r="L202" s="58">
        <v>192</v>
      </c>
      <c r="M202" s="47">
        <f t="shared" si="14"/>
        <v>4.9171214553781666E-3</v>
      </c>
      <c r="N202" s="47">
        <f t="shared" si="15"/>
        <v>-6.3950285730834562E-3</v>
      </c>
      <c r="O202" s="47">
        <f t="shared" si="16"/>
        <v>-1.7923659716948846E-2</v>
      </c>
      <c r="P202" s="47">
        <f t="shared" si="17"/>
        <v>1.516300517964008E-3</v>
      </c>
      <c r="Q202" s="47">
        <f t="shared" si="18"/>
        <v>4.1271210046508267E-3</v>
      </c>
      <c r="R202" s="57"/>
    </row>
    <row r="203" spans="3:18" x14ac:dyDescent="0.3">
      <c r="C203" s="8">
        <v>193</v>
      </c>
      <c r="D203" s="25">
        <v>45828</v>
      </c>
      <c r="E203" s="26">
        <v>1427.1</v>
      </c>
      <c r="F203" s="26">
        <v>1948.4</v>
      </c>
      <c r="G203" s="26">
        <v>2184.1</v>
      </c>
      <c r="H203" s="26">
        <v>1584</v>
      </c>
      <c r="I203" s="52">
        <v>1456.8</v>
      </c>
      <c r="J203" s="44">
        <v>22906.2</v>
      </c>
      <c r="L203" s="56">
        <v>193</v>
      </c>
      <c r="M203" s="47">
        <f t="shared" si="14"/>
        <v>-1.1133147686384126E-2</v>
      </c>
      <c r="N203" s="47">
        <f t="shared" si="15"/>
        <v>8.3310389597299386E-3</v>
      </c>
      <c r="O203" s="47">
        <f t="shared" si="16"/>
        <v>-6.568846974015081E-3</v>
      </c>
      <c r="P203" s="47">
        <f t="shared" si="17"/>
        <v>2.4261378947465266E-2</v>
      </c>
      <c r="Q203" s="47">
        <f t="shared" si="18"/>
        <v>6.4317703760879913E-3</v>
      </c>
      <c r="R203" s="57"/>
    </row>
    <row r="204" spans="3:18" x14ac:dyDescent="0.3">
      <c r="C204" s="8">
        <v>194</v>
      </c>
      <c r="D204" s="25">
        <v>45827</v>
      </c>
      <c r="E204" s="26">
        <v>1411.3</v>
      </c>
      <c r="F204" s="26">
        <v>1964.7</v>
      </c>
      <c r="G204" s="26">
        <v>2169.8000000000002</v>
      </c>
      <c r="H204" s="26">
        <v>1622.9</v>
      </c>
      <c r="I204" s="52">
        <v>1466.2</v>
      </c>
      <c r="J204" s="44">
        <v>23046.45</v>
      </c>
      <c r="L204" s="58">
        <v>194</v>
      </c>
      <c r="M204" s="47">
        <f t="shared" ref="M204:M262" si="19">LN(E205/E204)</f>
        <v>9.2071255486056013E-4</v>
      </c>
      <c r="N204" s="47">
        <f t="shared" ref="N204:N262" si="20">LN(F205/F204)</f>
        <v>-1.507720868581197E-2</v>
      </c>
      <c r="O204" s="47">
        <f t="shared" ref="O204:O262" si="21">LN(G205/G204)</f>
        <v>-1.0842977276935938E-2</v>
      </c>
      <c r="P204" s="47">
        <f t="shared" ref="P204:P262" si="22">LN(H205/H204)</f>
        <v>-2.7766654683005995E-3</v>
      </c>
      <c r="Q204" s="47">
        <f t="shared" ref="Q204:Q262" si="23">LN(I205/I204)</f>
        <v>-2.2694541860316251E-2</v>
      </c>
      <c r="R204" s="57"/>
    </row>
    <row r="205" spans="3:18" x14ac:dyDescent="0.3">
      <c r="C205" s="8">
        <v>195</v>
      </c>
      <c r="D205" s="25">
        <v>45826</v>
      </c>
      <c r="E205" s="26">
        <v>1412.6</v>
      </c>
      <c r="F205" s="26">
        <v>1935.3</v>
      </c>
      <c r="G205" s="26">
        <v>2146.4</v>
      </c>
      <c r="H205" s="26">
        <v>1618.4</v>
      </c>
      <c r="I205" s="52">
        <v>1433.3</v>
      </c>
      <c r="J205" s="44">
        <v>23337.85</v>
      </c>
      <c r="L205" s="56">
        <v>195</v>
      </c>
      <c r="M205" s="47">
        <f t="shared" si="19"/>
        <v>7.4758793768035159E-3</v>
      </c>
      <c r="N205" s="47">
        <f t="shared" si="20"/>
        <v>-7.2366383805282531E-4</v>
      </c>
      <c r="O205" s="47">
        <f t="shared" si="21"/>
        <v>-6.5439141628083801E-3</v>
      </c>
      <c r="P205" s="47">
        <f t="shared" si="22"/>
        <v>8.9195682547284078E-3</v>
      </c>
      <c r="Q205" s="47">
        <f t="shared" si="23"/>
        <v>-2.2351060502802935E-3</v>
      </c>
      <c r="R205" s="57"/>
    </row>
    <row r="206" spans="3:18" x14ac:dyDescent="0.3">
      <c r="C206" s="8">
        <v>196</v>
      </c>
      <c r="D206" s="25">
        <v>45825</v>
      </c>
      <c r="E206" s="26">
        <v>1423.2</v>
      </c>
      <c r="F206" s="26">
        <v>1933.9</v>
      </c>
      <c r="G206" s="26">
        <v>2132.4</v>
      </c>
      <c r="H206" s="26">
        <v>1632.9</v>
      </c>
      <c r="I206" s="52">
        <v>1430.1</v>
      </c>
      <c r="J206" s="44">
        <v>23339.95</v>
      </c>
      <c r="L206" s="58">
        <v>196</v>
      </c>
      <c r="M206" s="47">
        <f t="shared" si="19"/>
        <v>2.5964015849041142E-3</v>
      </c>
      <c r="N206" s="47">
        <f t="shared" si="20"/>
        <v>-2.2259618353866434E-3</v>
      </c>
      <c r="O206" s="47">
        <f t="shared" si="21"/>
        <v>2.0612768471452896E-3</v>
      </c>
      <c r="P206" s="47">
        <f t="shared" si="22"/>
        <v>4.2776892411358356E-3</v>
      </c>
      <c r="Q206" s="47">
        <f t="shared" si="23"/>
        <v>7.6888131561983681E-4</v>
      </c>
      <c r="R206" s="57"/>
    </row>
    <row r="207" spans="3:18" x14ac:dyDescent="0.3">
      <c r="C207" s="8">
        <v>197</v>
      </c>
      <c r="D207" s="25">
        <v>45824</v>
      </c>
      <c r="E207" s="26">
        <v>1426.9</v>
      </c>
      <c r="F207" s="26">
        <v>1929.6</v>
      </c>
      <c r="G207" s="26">
        <v>2136.8000000000002</v>
      </c>
      <c r="H207" s="26">
        <v>1639.9</v>
      </c>
      <c r="I207" s="52">
        <v>1431.2</v>
      </c>
      <c r="J207" s="44">
        <v>23330.55</v>
      </c>
      <c r="L207" s="56">
        <v>197</v>
      </c>
      <c r="M207" s="47">
        <f t="shared" si="19"/>
        <v>-7.5976447075165616E-3</v>
      </c>
      <c r="N207" s="47">
        <f t="shared" si="20"/>
        <v>3.0012959139760396E-3</v>
      </c>
      <c r="O207" s="47">
        <f t="shared" si="21"/>
        <v>1.0290472866543213E-3</v>
      </c>
      <c r="P207" s="47">
        <f t="shared" si="22"/>
        <v>-9.8661829210539443E-3</v>
      </c>
      <c r="Q207" s="47">
        <f t="shared" si="23"/>
        <v>4.6009143552617838E-3</v>
      </c>
      <c r="R207" s="57"/>
    </row>
    <row r="208" spans="3:18" x14ac:dyDescent="0.3">
      <c r="C208" s="8">
        <v>198</v>
      </c>
      <c r="D208" s="25">
        <v>45821</v>
      </c>
      <c r="E208" s="26">
        <v>1416.1</v>
      </c>
      <c r="F208" s="26">
        <v>1935.4</v>
      </c>
      <c r="G208" s="26">
        <v>2139</v>
      </c>
      <c r="H208" s="26">
        <v>1623.8</v>
      </c>
      <c r="I208" s="52">
        <v>1437.8</v>
      </c>
      <c r="J208" s="44">
        <v>23165.1</v>
      </c>
      <c r="L208" s="58">
        <v>198</v>
      </c>
      <c r="M208" s="47">
        <f t="shared" si="19"/>
        <v>6.405540502667899E-3</v>
      </c>
      <c r="N208" s="47">
        <f t="shared" si="20"/>
        <v>-9.2396193266676471E-3</v>
      </c>
      <c r="O208" s="47">
        <f t="shared" si="21"/>
        <v>-1.4883469916978359E-2</v>
      </c>
      <c r="P208" s="47">
        <f t="shared" si="22"/>
        <v>-1.351623280004147E-2</v>
      </c>
      <c r="Q208" s="47">
        <f t="shared" si="23"/>
        <v>-6.9093341135214835E-3</v>
      </c>
      <c r="R208" s="57"/>
    </row>
    <row r="209" spans="3:18" x14ac:dyDescent="0.3">
      <c r="C209" s="8">
        <v>199</v>
      </c>
      <c r="D209" s="25">
        <v>45820</v>
      </c>
      <c r="E209" s="26">
        <v>1425.2</v>
      </c>
      <c r="F209" s="26">
        <v>1917.6</v>
      </c>
      <c r="G209" s="26">
        <v>2107.4</v>
      </c>
      <c r="H209" s="26">
        <v>1602</v>
      </c>
      <c r="I209" s="52">
        <v>1427.9</v>
      </c>
      <c r="J209" s="44">
        <v>22934.5</v>
      </c>
      <c r="L209" s="56">
        <v>199</v>
      </c>
      <c r="M209" s="47">
        <f t="shared" si="19"/>
        <v>4.0613458247699546E-3</v>
      </c>
      <c r="N209" s="47">
        <f t="shared" si="20"/>
        <v>1.6960075606832534E-2</v>
      </c>
      <c r="O209" s="47">
        <f t="shared" si="21"/>
        <v>1.7824442557032794E-2</v>
      </c>
      <c r="P209" s="47">
        <f t="shared" si="22"/>
        <v>1.8001785191679998E-2</v>
      </c>
      <c r="Q209" s="47">
        <f t="shared" si="23"/>
        <v>1.4599814390426976E-2</v>
      </c>
      <c r="R209" s="57"/>
    </row>
    <row r="210" spans="3:18" x14ac:dyDescent="0.3">
      <c r="C210" s="8">
        <v>200</v>
      </c>
      <c r="D210" s="25">
        <v>45819</v>
      </c>
      <c r="E210" s="26">
        <v>1431</v>
      </c>
      <c r="F210" s="26">
        <v>1950.4</v>
      </c>
      <c r="G210" s="26">
        <v>2145.3000000000002</v>
      </c>
      <c r="H210" s="26">
        <v>1631.1</v>
      </c>
      <c r="I210" s="52">
        <v>1448.9</v>
      </c>
      <c r="J210" s="44">
        <v>22807.85</v>
      </c>
      <c r="L210" s="58">
        <v>200</v>
      </c>
      <c r="M210" s="47">
        <f t="shared" si="19"/>
        <v>-5.6764580048050788E-3</v>
      </c>
      <c r="N210" s="47">
        <f t="shared" si="20"/>
        <v>-3.5954633216684229E-3</v>
      </c>
      <c r="O210" s="47">
        <f t="shared" si="21"/>
        <v>-8.6609000922765068E-3</v>
      </c>
      <c r="P210" s="47">
        <f t="shared" si="22"/>
        <v>-1.3890398350016047E-2</v>
      </c>
      <c r="Q210" s="47">
        <f t="shared" si="23"/>
        <v>-5.0510399726032655E-3</v>
      </c>
      <c r="R210" s="57"/>
    </row>
    <row r="211" spans="3:18" x14ac:dyDescent="0.3">
      <c r="C211" s="8">
        <v>201</v>
      </c>
      <c r="D211" s="25">
        <v>45819</v>
      </c>
      <c r="E211" s="26">
        <v>1422.9</v>
      </c>
      <c r="F211" s="26">
        <v>1943.4</v>
      </c>
      <c r="G211" s="26">
        <v>2126.8000000000002</v>
      </c>
      <c r="H211" s="26">
        <v>1608.6</v>
      </c>
      <c r="I211" s="52">
        <v>1441.6</v>
      </c>
      <c r="J211" s="44">
        <v>22711.3</v>
      </c>
      <c r="L211" s="56">
        <v>201</v>
      </c>
      <c r="M211" s="47">
        <f t="shared" si="19"/>
        <v>0</v>
      </c>
      <c r="N211" s="47">
        <f t="shared" si="20"/>
        <v>1.1205889000601642E-2</v>
      </c>
      <c r="O211" s="47">
        <f t="shared" si="21"/>
        <v>1.136083656156881E-2</v>
      </c>
      <c r="P211" s="47">
        <f t="shared" si="22"/>
        <v>-7.8637364602144634E-3</v>
      </c>
      <c r="Q211" s="47">
        <f t="shared" si="23"/>
        <v>-2.1527038624708349E-3</v>
      </c>
      <c r="R211" s="57"/>
    </row>
    <row r="212" spans="3:18" x14ac:dyDescent="0.3">
      <c r="C212" s="8">
        <v>202</v>
      </c>
      <c r="D212" s="25">
        <v>45818</v>
      </c>
      <c r="E212" s="26">
        <v>1422.9</v>
      </c>
      <c r="F212" s="26">
        <v>1965.3</v>
      </c>
      <c r="G212" s="26">
        <v>2151.1</v>
      </c>
      <c r="H212" s="26">
        <v>1596</v>
      </c>
      <c r="I212" s="52">
        <v>1438.5</v>
      </c>
      <c r="J212" s="44">
        <v>22834.5</v>
      </c>
      <c r="L212" s="58">
        <v>202</v>
      </c>
      <c r="M212" s="47">
        <f t="shared" si="19"/>
        <v>8.328424106481689E-3</v>
      </c>
      <c r="N212" s="47">
        <f t="shared" si="20"/>
        <v>6.8962293489177448E-3</v>
      </c>
      <c r="O212" s="47">
        <f t="shared" si="21"/>
        <v>-6.0149856123528139E-3</v>
      </c>
      <c r="P212" s="47">
        <f t="shared" si="22"/>
        <v>-1.4579449763157273E-2</v>
      </c>
      <c r="Q212" s="47">
        <f t="shared" si="23"/>
        <v>7.1347235776010372E-3</v>
      </c>
      <c r="R212" s="57"/>
    </row>
    <row r="213" spans="3:18" x14ac:dyDescent="0.3">
      <c r="C213" s="8">
        <v>203</v>
      </c>
      <c r="D213" s="25">
        <v>45817</v>
      </c>
      <c r="E213" s="26">
        <v>1434.8</v>
      </c>
      <c r="F213" s="26">
        <v>1978.9</v>
      </c>
      <c r="G213" s="26">
        <v>2138.1999999999998</v>
      </c>
      <c r="H213" s="26">
        <v>1572.9</v>
      </c>
      <c r="I213" s="52">
        <v>1448.8</v>
      </c>
      <c r="J213" s="44">
        <v>22801.95</v>
      </c>
      <c r="L213" s="56">
        <v>203</v>
      </c>
      <c r="M213" s="47">
        <f t="shared" si="19"/>
        <v>1.7205468478405022E-2</v>
      </c>
      <c r="N213" s="47">
        <f t="shared" si="20"/>
        <v>-1.0107135646361247E-4</v>
      </c>
      <c r="O213" s="47">
        <f t="shared" si="21"/>
        <v>-3.0774581690387621E-2</v>
      </c>
      <c r="P213" s="47">
        <f t="shared" si="22"/>
        <v>-5.8022925561831843E-3</v>
      </c>
      <c r="Q213" s="47">
        <f t="shared" si="23"/>
        <v>-3.6649074662137935E-3</v>
      </c>
      <c r="R213" s="57"/>
    </row>
    <row r="214" spans="3:18" x14ac:dyDescent="0.3">
      <c r="C214" s="8">
        <v>204</v>
      </c>
      <c r="D214" s="25">
        <v>45814</v>
      </c>
      <c r="E214" s="26">
        <v>1459.7</v>
      </c>
      <c r="F214" s="26">
        <v>1978.7</v>
      </c>
      <c r="G214" s="26">
        <v>2073.4</v>
      </c>
      <c r="H214" s="26">
        <v>1563.8</v>
      </c>
      <c r="I214" s="52">
        <v>1443.5</v>
      </c>
      <c r="J214" s="44">
        <v>22861.35</v>
      </c>
      <c r="L214" s="58">
        <v>204</v>
      </c>
      <c r="M214" s="47">
        <f t="shared" si="19"/>
        <v>-3.3625010236984832E-3</v>
      </c>
      <c r="N214" s="47">
        <f t="shared" si="20"/>
        <v>-1.4815840087397916E-2</v>
      </c>
      <c r="O214" s="47">
        <f t="shared" si="21"/>
        <v>-1.6288984860092965E-2</v>
      </c>
      <c r="P214" s="47">
        <f t="shared" si="22"/>
        <v>-6.0934732015613157E-3</v>
      </c>
      <c r="Q214" s="47">
        <f t="shared" si="23"/>
        <v>-7.6232721388223E-4</v>
      </c>
      <c r="R214" s="57"/>
    </row>
    <row r="215" spans="3:18" x14ac:dyDescent="0.3">
      <c r="C215" s="8">
        <v>205</v>
      </c>
      <c r="D215" s="25">
        <v>45813</v>
      </c>
      <c r="E215" s="26">
        <v>1454.8</v>
      </c>
      <c r="F215" s="26">
        <v>1949.6</v>
      </c>
      <c r="G215" s="26">
        <v>2039.9</v>
      </c>
      <c r="H215" s="26">
        <v>1554.3</v>
      </c>
      <c r="I215" s="52">
        <v>1442.4</v>
      </c>
      <c r="J215" s="44">
        <v>22779.4</v>
      </c>
      <c r="L215" s="56">
        <v>205</v>
      </c>
      <c r="M215" s="47">
        <f t="shared" si="19"/>
        <v>-1.6494933556383019E-2</v>
      </c>
      <c r="N215" s="47">
        <f t="shared" si="20"/>
        <v>-4.317884779935291E-3</v>
      </c>
      <c r="O215" s="47">
        <f t="shared" si="21"/>
        <v>3.1324972998644988E-3</v>
      </c>
      <c r="P215" s="47">
        <f t="shared" si="22"/>
        <v>-1.9964585604101562E-3</v>
      </c>
      <c r="Q215" s="47">
        <f t="shared" si="23"/>
        <v>-1.3189765171015368E-2</v>
      </c>
      <c r="R215" s="57"/>
    </row>
    <row r="216" spans="3:18" x14ac:dyDescent="0.3">
      <c r="C216" s="8">
        <v>206</v>
      </c>
      <c r="D216" s="25">
        <v>45812</v>
      </c>
      <c r="E216" s="26">
        <v>1431</v>
      </c>
      <c r="F216" s="26">
        <v>1941.2</v>
      </c>
      <c r="G216" s="26">
        <v>2046.3</v>
      </c>
      <c r="H216" s="26">
        <v>1551.2</v>
      </c>
      <c r="I216" s="52">
        <v>1423.5</v>
      </c>
      <c r="J216" s="44">
        <v>22816.5</v>
      </c>
      <c r="L216" s="58">
        <v>206</v>
      </c>
      <c r="M216" s="47">
        <f t="shared" si="19"/>
        <v>4.8102152772443426E-3</v>
      </c>
      <c r="N216" s="47">
        <f t="shared" si="20"/>
        <v>-8.5881846087607211E-3</v>
      </c>
      <c r="O216" s="47">
        <f t="shared" si="21"/>
        <v>-8.8002352408634286E-4</v>
      </c>
      <c r="P216" s="47">
        <f t="shared" si="22"/>
        <v>-5.3002515652812218E-3</v>
      </c>
      <c r="Q216" s="47">
        <f t="shared" si="23"/>
        <v>-1.2725516371505633E-2</v>
      </c>
      <c r="R216" s="57"/>
    </row>
    <row r="217" spans="3:18" x14ac:dyDescent="0.3">
      <c r="C217" s="8">
        <v>207</v>
      </c>
      <c r="D217" s="25">
        <v>45811</v>
      </c>
      <c r="E217" s="26">
        <v>1437.9</v>
      </c>
      <c r="F217" s="26">
        <v>1924.6</v>
      </c>
      <c r="G217" s="26">
        <v>2044.5</v>
      </c>
      <c r="H217" s="26">
        <v>1543</v>
      </c>
      <c r="I217" s="52">
        <v>1405.5</v>
      </c>
      <c r="J217" s="44">
        <v>22908.3</v>
      </c>
      <c r="L217" s="56">
        <v>207</v>
      </c>
      <c r="M217" s="47">
        <f t="shared" si="19"/>
        <v>8.7246087277634363E-3</v>
      </c>
      <c r="N217" s="47">
        <f t="shared" si="20"/>
        <v>3.8893403450373275E-3</v>
      </c>
      <c r="O217" s="47">
        <f t="shared" si="21"/>
        <v>9.2987695657978722E-3</v>
      </c>
      <c r="P217" s="47">
        <f t="shared" si="22"/>
        <v>6.9749701531596261E-3</v>
      </c>
      <c r="Q217" s="47">
        <f t="shared" si="23"/>
        <v>5.8172695264003486E-3</v>
      </c>
      <c r="R217" s="57"/>
    </row>
    <row r="218" spans="3:18" x14ac:dyDescent="0.3">
      <c r="C218" s="8">
        <v>208</v>
      </c>
      <c r="D218" s="25">
        <v>45810</v>
      </c>
      <c r="E218" s="26">
        <v>1450.5</v>
      </c>
      <c r="F218" s="26">
        <v>1932.1</v>
      </c>
      <c r="G218" s="26">
        <v>2063.6</v>
      </c>
      <c r="H218" s="26">
        <v>1553.8</v>
      </c>
      <c r="I218" s="52">
        <v>1413.7</v>
      </c>
      <c r="J218" s="44">
        <v>22781.05</v>
      </c>
      <c r="L218" s="58">
        <v>208</v>
      </c>
      <c r="M218" s="47">
        <f t="shared" si="19"/>
        <v>-3.2455229952620306E-3</v>
      </c>
      <c r="N218" s="47">
        <f t="shared" si="20"/>
        <v>6.6030675817219621E-3</v>
      </c>
      <c r="O218" s="47">
        <f t="shared" si="21"/>
        <v>5.3645345285989795E-3</v>
      </c>
      <c r="P218" s="47">
        <f t="shared" si="22"/>
        <v>5.711550902935264E-3</v>
      </c>
      <c r="Q218" s="47">
        <f t="shared" si="23"/>
        <v>5.0800927710427934E-3</v>
      </c>
      <c r="R218" s="57"/>
    </row>
    <row r="219" spans="3:18" x14ac:dyDescent="0.3">
      <c r="C219" s="8">
        <v>209</v>
      </c>
      <c r="D219" s="25">
        <v>45807</v>
      </c>
      <c r="E219" s="26">
        <v>1445.8</v>
      </c>
      <c r="F219" s="26">
        <v>1944.9</v>
      </c>
      <c r="G219" s="26">
        <v>2074.6999999999998</v>
      </c>
      <c r="H219" s="26">
        <v>1562.7</v>
      </c>
      <c r="I219" s="52">
        <v>1420.9</v>
      </c>
      <c r="J219" s="44">
        <v>22595</v>
      </c>
      <c r="L219" s="56">
        <v>209</v>
      </c>
      <c r="M219" s="47">
        <f t="shared" si="19"/>
        <v>7.3734958332925512E-3</v>
      </c>
      <c r="N219" s="47">
        <f t="shared" si="20"/>
        <v>-8.9867354115751932E-3</v>
      </c>
      <c r="O219" s="47">
        <f t="shared" si="21"/>
        <v>3.3202638591470443E-3</v>
      </c>
      <c r="P219" s="47">
        <f t="shared" si="22"/>
        <v>1.4547790156467831E-2</v>
      </c>
      <c r="Q219" s="47">
        <f t="shared" si="23"/>
        <v>-2.1840992231126079E-3</v>
      </c>
      <c r="R219" s="57"/>
    </row>
    <row r="220" spans="3:18" x14ac:dyDescent="0.3">
      <c r="C220" s="8">
        <v>210</v>
      </c>
      <c r="D220" s="25">
        <v>45806</v>
      </c>
      <c r="E220" s="26">
        <v>1456.5</v>
      </c>
      <c r="F220" s="26">
        <v>1927.5</v>
      </c>
      <c r="G220" s="26">
        <v>2081.6</v>
      </c>
      <c r="H220" s="26">
        <v>1585.6</v>
      </c>
      <c r="I220" s="52">
        <v>1417.8</v>
      </c>
      <c r="J220" s="44">
        <v>22730.65</v>
      </c>
      <c r="L220" s="58">
        <v>210</v>
      </c>
      <c r="M220" s="47">
        <f t="shared" si="19"/>
        <v>-1.8554793489542769E-3</v>
      </c>
      <c r="N220" s="47">
        <f t="shared" si="20"/>
        <v>-2.0773832451347345E-3</v>
      </c>
      <c r="O220" s="47">
        <f t="shared" si="21"/>
        <v>-3.5130814061410001E-3</v>
      </c>
      <c r="P220" s="47">
        <f t="shared" si="22"/>
        <v>-8.7414251436490013E-3</v>
      </c>
      <c r="Q220" s="47">
        <f t="shared" si="23"/>
        <v>-3.4620446491549083E-3</v>
      </c>
      <c r="R220" s="57"/>
    </row>
    <row r="221" spans="3:18" x14ac:dyDescent="0.3">
      <c r="C221" s="8">
        <v>211</v>
      </c>
      <c r="D221" s="25">
        <v>45805</v>
      </c>
      <c r="E221" s="26">
        <v>1453.8</v>
      </c>
      <c r="F221" s="26">
        <v>1923.5</v>
      </c>
      <c r="G221" s="26">
        <v>2074.3000000000002</v>
      </c>
      <c r="H221" s="26">
        <v>1571.8</v>
      </c>
      <c r="I221" s="52">
        <v>1412.9</v>
      </c>
      <c r="J221" s="44">
        <v>22585.599999999999</v>
      </c>
      <c r="L221" s="56">
        <v>211</v>
      </c>
      <c r="M221" s="47">
        <f t="shared" si="19"/>
        <v>-5.1031074126229523E-3</v>
      </c>
      <c r="N221" s="47">
        <f t="shared" si="20"/>
        <v>1.4546212757624627E-3</v>
      </c>
      <c r="O221" s="47">
        <f t="shared" si="21"/>
        <v>1.4933644416112992E-3</v>
      </c>
      <c r="P221" s="47">
        <f t="shared" si="22"/>
        <v>-1.0821478505986107E-3</v>
      </c>
      <c r="Q221" s="47">
        <f t="shared" si="23"/>
        <v>6.4903226068884767E-3</v>
      </c>
      <c r="R221" s="57"/>
    </row>
    <row r="222" spans="3:18" x14ac:dyDescent="0.3">
      <c r="C222" s="8">
        <v>212</v>
      </c>
      <c r="D222" s="25">
        <v>45804</v>
      </c>
      <c r="E222" s="26">
        <v>1446.4</v>
      </c>
      <c r="F222" s="26">
        <v>1926.3</v>
      </c>
      <c r="G222" s="26">
        <v>2077.4</v>
      </c>
      <c r="H222" s="26">
        <v>1570.1</v>
      </c>
      <c r="I222" s="52">
        <v>1422.1</v>
      </c>
      <c r="J222" s="44">
        <v>22865.8</v>
      </c>
      <c r="L222" s="58">
        <v>212</v>
      </c>
      <c r="M222" s="47">
        <f t="shared" si="19"/>
        <v>9.7695995480971271E-3</v>
      </c>
      <c r="N222" s="47">
        <f t="shared" si="20"/>
        <v>7.1899960590709085E-3</v>
      </c>
      <c r="O222" s="47">
        <f t="shared" si="21"/>
        <v>5.7119698344942436E-3</v>
      </c>
      <c r="P222" s="47">
        <f t="shared" si="22"/>
        <v>6.6019410741964399E-3</v>
      </c>
      <c r="Q222" s="47">
        <f t="shared" si="23"/>
        <v>8.8908142794768968E-3</v>
      </c>
      <c r="R222" s="57"/>
    </row>
    <row r="223" spans="3:18" x14ac:dyDescent="0.3">
      <c r="C223" s="8">
        <v>213</v>
      </c>
      <c r="D223" s="25">
        <v>45803</v>
      </c>
      <c r="E223" s="26">
        <v>1460.6</v>
      </c>
      <c r="F223" s="26">
        <v>1940.2</v>
      </c>
      <c r="G223" s="26">
        <v>2089.3000000000002</v>
      </c>
      <c r="H223" s="26">
        <v>1580.5</v>
      </c>
      <c r="I223" s="52">
        <v>1434.8</v>
      </c>
      <c r="J223" s="44">
        <v>22870.9</v>
      </c>
      <c r="L223" s="56">
        <v>213</v>
      </c>
      <c r="M223" s="47">
        <f t="shared" si="19"/>
        <v>-7.4216943192319321E-3</v>
      </c>
      <c r="N223" s="47">
        <f t="shared" si="20"/>
        <v>-3.407510137909978E-3</v>
      </c>
      <c r="O223" s="47">
        <f t="shared" si="21"/>
        <v>5.4891429203265353E-3</v>
      </c>
      <c r="P223" s="47">
        <f t="shared" si="22"/>
        <v>-9.9832323751195638E-3</v>
      </c>
      <c r="Q223" s="47">
        <f t="shared" si="23"/>
        <v>-5.5912921733910787E-3</v>
      </c>
      <c r="R223" s="57"/>
    </row>
    <row r="224" spans="3:18" x14ac:dyDescent="0.3">
      <c r="C224" s="8">
        <v>214</v>
      </c>
      <c r="D224" s="25">
        <v>45800</v>
      </c>
      <c r="E224" s="26">
        <v>1449.8</v>
      </c>
      <c r="F224" s="26">
        <v>1933.6</v>
      </c>
      <c r="G224" s="26">
        <v>2100.8000000000002</v>
      </c>
      <c r="H224" s="26">
        <v>1564.8</v>
      </c>
      <c r="I224" s="52">
        <v>1426.8</v>
      </c>
      <c r="J224" s="44">
        <v>22788.799999999999</v>
      </c>
      <c r="L224" s="58">
        <v>214</v>
      </c>
      <c r="M224" s="47">
        <f t="shared" si="19"/>
        <v>-5.3252312987526803E-3</v>
      </c>
      <c r="N224" s="47">
        <f t="shared" si="20"/>
        <v>-7.1104490571631635E-3</v>
      </c>
      <c r="O224" s="47">
        <f t="shared" si="21"/>
        <v>-1.680066397599865E-2</v>
      </c>
      <c r="P224" s="47">
        <f t="shared" si="22"/>
        <v>-1.1117294721801745E-2</v>
      </c>
      <c r="Q224" s="47">
        <f t="shared" si="23"/>
        <v>-1.2270092591814247E-2</v>
      </c>
      <c r="R224" s="57"/>
    </row>
    <row r="225" spans="3:18" x14ac:dyDescent="0.3">
      <c r="C225" s="8">
        <v>215</v>
      </c>
      <c r="D225" s="25">
        <v>45799</v>
      </c>
      <c r="E225" s="26">
        <v>1442.1</v>
      </c>
      <c r="F225" s="26">
        <v>1919.9</v>
      </c>
      <c r="G225" s="26">
        <v>2065.8000000000002</v>
      </c>
      <c r="H225" s="26">
        <v>1547.5</v>
      </c>
      <c r="I225" s="52">
        <v>1409.4</v>
      </c>
      <c r="J225" s="44">
        <v>22499.5</v>
      </c>
      <c r="L225" s="56">
        <v>215</v>
      </c>
      <c r="M225" s="47">
        <f t="shared" si="19"/>
        <v>1.801302967311159E-3</v>
      </c>
      <c r="N225" s="47">
        <f t="shared" si="20"/>
        <v>3.5874944239555643E-3</v>
      </c>
      <c r="O225" s="47">
        <f t="shared" si="21"/>
        <v>2.6588688889442099E-3</v>
      </c>
      <c r="P225" s="47">
        <f t="shared" si="22"/>
        <v>1.3479023071981676E-2</v>
      </c>
      <c r="Q225" s="47">
        <f t="shared" si="23"/>
        <v>1.3950765256332593E-2</v>
      </c>
      <c r="R225" s="57"/>
    </row>
    <row r="226" spans="3:18" x14ac:dyDescent="0.3">
      <c r="C226" s="8">
        <v>216</v>
      </c>
      <c r="D226" s="25">
        <v>45798</v>
      </c>
      <c r="E226" s="26">
        <v>1444.7</v>
      </c>
      <c r="F226" s="26">
        <v>1926.8</v>
      </c>
      <c r="G226" s="26">
        <v>2071.3000000000002</v>
      </c>
      <c r="H226" s="26">
        <v>1568.5</v>
      </c>
      <c r="I226" s="52">
        <v>1429.2</v>
      </c>
      <c r="J226" s="44">
        <v>22349.4</v>
      </c>
      <c r="L226" s="58">
        <v>216</v>
      </c>
      <c r="M226" s="47">
        <f t="shared" si="19"/>
        <v>-4.5093558669419605E-3</v>
      </c>
      <c r="N226" s="47">
        <f t="shared" si="20"/>
        <v>-6.1951938259443198E-3</v>
      </c>
      <c r="O226" s="47">
        <f t="shared" si="21"/>
        <v>9.0354822427055562E-3</v>
      </c>
      <c r="P226" s="47">
        <f t="shared" si="22"/>
        <v>-5.0493859480719933E-3</v>
      </c>
      <c r="Q226" s="47">
        <f t="shared" si="23"/>
        <v>-3.2237746050013702E-3</v>
      </c>
      <c r="R226" s="57"/>
    </row>
    <row r="227" spans="3:18" x14ac:dyDescent="0.3">
      <c r="C227" s="8">
        <v>217</v>
      </c>
      <c r="D227" s="25">
        <v>45797</v>
      </c>
      <c r="E227" s="26">
        <v>1438.2</v>
      </c>
      <c r="F227" s="26">
        <v>1914.9</v>
      </c>
      <c r="G227" s="26">
        <v>2090.1</v>
      </c>
      <c r="H227" s="26">
        <v>1560.6</v>
      </c>
      <c r="I227" s="52">
        <v>1424.6</v>
      </c>
      <c r="J227" s="44">
        <v>22511.4</v>
      </c>
      <c r="L227" s="56">
        <v>217</v>
      </c>
      <c r="M227" s="47">
        <f t="shared" si="19"/>
        <v>7.4813316522887663E-3</v>
      </c>
      <c r="N227" s="47">
        <f t="shared" si="20"/>
        <v>1.2352243415040525E-2</v>
      </c>
      <c r="O227" s="47">
        <f t="shared" si="21"/>
        <v>1.0044594484931309E-2</v>
      </c>
      <c r="P227" s="47">
        <f t="shared" si="22"/>
        <v>-5.1275478626317873E-4</v>
      </c>
      <c r="Q227" s="47">
        <f t="shared" si="23"/>
        <v>1.1307442317492944E-2</v>
      </c>
      <c r="R227" s="57"/>
    </row>
    <row r="228" spans="3:18" x14ac:dyDescent="0.3">
      <c r="C228" s="8">
        <v>218</v>
      </c>
      <c r="D228" s="25">
        <v>45796</v>
      </c>
      <c r="E228" s="26">
        <v>1449</v>
      </c>
      <c r="F228" s="26">
        <v>1938.7</v>
      </c>
      <c r="G228" s="26">
        <v>2111.1999999999998</v>
      </c>
      <c r="H228" s="26">
        <v>1559.8</v>
      </c>
      <c r="I228" s="52">
        <v>1440.8</v>
      </c>
      <c r="J228" s="44">
        <v>21675.55</v>
      </c>
      <c r="L228" s="58">
        <v>218</v>
      </c>
      <c r="M228" s="47">
        <f t="shared" si="19"/>
        <v>3.4447157727822172E-3</v>
      </c>
      <c r="N228" s="47">
        <f t="shared" si="20"/>
        <v>-2.0653696607203383E-3</v>
      </c>
      <c r="O228" s="47">
        <f t="shared" si="21"/>
        <v>-1.4220033680255124E-3</v>
      </c>
      <c r="P228" s="47">
        <f t="shared" si="22"/>
        <v>1.91135132582658E-2</v>
      </c>
      <c r="Q228" s="47">
        <f t="shared" si="23"/>
        <v>1.0769122439532047E-2</v>
      </c>
      <c r="R228" s="57"/>
    </row>
    <row r="229" spans="3:18" x14ac:dyDescent="0.3">
      <c r="C229" s="8">
        <v>219</v>
      </c>
      <c r="D229" s="25">
        <v>45793</v>
      </c>
      <c r="E229" s="26">
        <v>1454</v>
      </c>
      <c r="F229" s="26">
        <v>1934.7</v>
      </c>
      <c r="G229" s="26">
        <v>2108.1999999999998</v>
      </c>
      <c r="H229" s="26">
        <v>1589.9</v>
      </c>
      <c r="I229" s="52">
        <v>1456.4</v>
      </c>
      <c r="J229" s="44">
        <v>21843.05</v>
      </c>
      <c r="L229" s="56">
        <v>219</v>
      </c>
      <c r="M229" s="47">
        <f t="shared" si="19"/>
        <v>-2.2032506847173778E-3</v>
      </c>
      <c r="N229" s="47">
        <f t="shared" si="20"/>
        <v>-4.6529663499430098E-4</v>
      </c>
      <c r="O229" s="47">
        <f t="shared" si="21"/>
        <v>-8.5417363898905748E-4</v>
      </c>
      <c r="P229" s="47">
        <f t="shared" si="22"/>
        <v>1.4424677970545308E-2</v>
      </c>
      <c r="Q229" s="47">
        <f t="shared" si="23"/>
        <v>-1.5117160853219673E-3</v>
      </c>
      <c r="R229" s="57"/>
    </row>
    <row r="230" spans="3:18" x14ac:dyDescent="0.3">
      <c r="C230" s="8">
        <v>220</v>
      </c>
      <c r="D230" s="25">
        <v>45792</v>
      </c>
      <c r="E230" s="26">
        <v>1450.8</v>
      </c>
      <c r="F230" s="26">
        <v>1933.8</v>
      </c>
      <c r="G230" s="26">
        <v>2106.4</v>
      </c>
      <c r="H230" s="26">
        <v>1613</v>
      </c>
      <c r="I230" s="52">
        <v>1454.2</v>
      </c>
      <c r="J230" s="44">
        <v>22072.45</v>
      </c>
      <c r="L230" s="58">
        <v>220</v>
      </c>
      <c r="M230" s="47">
        <f t="shared" si="19"/>
        <v>-1.7101563814543939E-2</v>
      </c>
      <c r="N230" s="47">
        <f t="shared" si="20"/>
        <v>-1.2069650213539217E-2</v>
      </c>
      <c r="O230" s="47">
        <f t="shared" si="21"/>
        <v>-6.6685966856436961E-3</v>
      </c>
      <c r="P230" s="47">
        <f t="shared" si="22"/>
        <v>-1.2853486999046723E-2</v>
      </c>
      <c r="Q230" s="47">
        <f t="shared" si="23"/>
        <v>-2.0705248812333727E-2</v>
      </c>
      <c r="R230" s="57"/>
    </row>
    <row r="231" spans="3:18" x14ac:dyDescent="0.3">
      <c r="C231" s="8">
        <v>221</v>
      </c>
      <c r="D231" s="25">
        <v>45791</v>
      </c>
      <c r="E231" s="26">
        <v>1426.2</v>
      </c>
      <c r="F231" s="26">
        <v>1910.6</v>
      </c>
      <c r="G231" s="26">
        <v>2092.4</v>
      </c>
      <c r="H231" s="26">
        <v>1592.4</v>
      </c>
      <c r="I231" s="52">
        <v>1424.4</v>
      </c>
      <c r="J231" s="44">
        <v>21956.6</v>
      </c>
      <c r="L231" s="56">
        <v>221</v>
      </c>
      <c r="M231" s="47">
        <f t="shared" si="19"/>
        <v>3.0803720800800247E-3</v>
      </c>
      <c r="N231" s="47">
        <f t="shared" si="20"/>
        <v>6.2611077958077046E-3</v>
      </c>
      <c r="O231" s="47">
        <f t="shared" si="21"/>
        <v>1.1026727695368813E-2</v>
      </c>
      <c r="P231" s="47">
        <f t="shared" si="22"/>
        <v>-1.5058810347596123E-2</v>
      </c>
      <c r="Q231" s="47">
        <f t="shared" si="23"/>
        <v>-6.1265640031712264E-3</v>
      </c>
      <c r="R231" s="57"/>
    </row>
    <row r="232" spans="3:18" x14ac:dyDescent="0.3">
      <c r="C232" s="8">
        <v>222</v>
      </c>
      <c r="D232" s="25">
        <v>45790</v>
      </c>
      <c r="E232" s="26">
        <v>1430.6</v>
      </c>
      <c r="F232" s="26">
        <v>1922.6</v>
      </c>
      <c r="G232" s="26">
        <v>2115.6</v>
      </c>
      <c r="H232" s="26">
        <v>1568.6</v>
      </c>
      <c r="I232" s="52">
        <v>1415.7</v>
      </c>
      <c r="J232" s="44">
        <v>22195.15</v>
      </c>
      <c r="L232" s="58">
        <v>222</v>
      </c>
      <c r="M232" s="47">
        <f t="shared" si="19"/>
        <v>1.2434601535121596E-2</v>
      </c>
      <c r="N232" s="47">
        <f t="shared" si="20"/>
        <v>1.7836443783252869E-2</v>
      </c>
      <c r="O232" s="47">
        <f t="shared" si="21"/>
        <v>1.3801092170292474E-2</v>
      </c>
      <c r="P232" s="47">
        <f t="shared" si="22"/>
        <v>3.6492861736558725E-2</v>
      </c>
      <c r="Q232" s="47">
        <f t="shared" si="23"/>
        <v>1.4585491018892793E-2</v>
      </c>
      <c r="R232" s="57"/>
    </row>
    <row r="233" spans="3:18" x14ac:dyDescent="0.3">
      <c r="C233" s="8">
        <v>223</v>
      </c>
      <c r="D233" s="25">
        <v>45789</v>
      </c>
      <c r="E233" s="26">
        <v>1448.5</v>
      </c>
      <c r="F233" s="26">
        <v>1957.2</v>
      </c>
      <c r="G233" s="26">
        <v>2145</v>
      </c>
      <c r="H233" s="26">
        <v>1626.9</v>
      </c>
      <c r="I233" s="52">
        <v>1436.5</v>
      </c>
      <c r="J233" s="44">
        <v>22006</v>
      </c>
      <c r="L233" s="56">
        <v>223</v>
      </c>
      <c r="M233" s="47">
        <f t="shared" si="19"/>
        <v>-4.201647128723169E-2</v>
      </c>
      <c r="N233" s="47">
        <f t="shared" si="20"/>
        <v>-3.5096794118975504E-2</v>
      </c>
      <c r="O233" s="47">
        <f t="shared" si="21"/>
        <v>-1.972710567248484E-2</v>
      </c>
      <c r="P233" s="47">
        <f t="shared" si="22"/>
        <v>-7.615738112214436E-2</v>
      </c>
      <c r="Q233" s="47">
        <f t="shared" si="23"/>
        <v>-4.2157146954975556E-2</v>
      </c>
      <c r="R233" s="57"/>
    </row>
    <row r="234" spans="3:18" x14ac:dyDescent="0.3">
      <c r="C234" s="8">
        <v>224</v>
      </c>
      <c r="D234" s="25">
        <v>45786</v>
      </c>
      <c r="E234" s="26">
        <v>1388.9</v>
      </c>
      <c r="F234" s="26">
        <v>1889.7</v>
      </c>
      <c r="G234" s="26">
        <v>2103.1</v>
      </c>
      <c r="H234" s="26">
        <v>1507.6</v>
      </c>
      <c r="I234" s="52">
        <v>1377.2</v>
      </c>
      <c r="J234" s="44">
        <v>22030.05</v>
      </c>
      <c r="L234" s="58">
        <v>224</v>
      </c>
      <c r="M234" s="47">
        <f t="shared" si="19"/>
        <v>3.3001153638945381E-2</v>
      </c>
      <c r="N234" s="47">
        <f t="shared" si="20"/>
        <v>2.0324412352289444E-2</v>
      </c>
      <c r="O234" s="47">
        <f t="shared" si="21"/>
        <v>4.5069696994293838E-3</v>
      </c>
      <c r="P234" s="47">
        <f t="shared" si="22"/>
        <v>2.5173911936392686E-3</v>
      </c>
      <c r="Q234" s="47">
        <f t="shared" si="23"/>
        <v>2.1407325650020275E-2</v>
      </c>
      <c r="R234" s="57"/>
    </row>
    <row r="235" spans="3:18" x14ac:dyDescent="0.3">
      <c r="C235" s="8">
        <v>225</v>
      </c>
      <c r="D235" s="25">
        <v>45785</v>
      </c>
      <c r="E235" s="26">
        <v>1435.5</v>
      </c>
      <c r="F235" s="26">
        <v>1928.5</v>
      </c>
      <c r="G235" s="26">
        <v>2112.6</v>
      </c>
      <c r="H235" s="26">
        <v>1511.4</v>
      </c>
      <c r="I235" s="52">
        <v>1407</v>
      </c>
      <c r="J235" s="44">
        <v>22112.400000000001</v>
      </c>
      <c r="L235" s="56">
        <v>225</v>
      </c>
      <c r="M235" s="47">
        <f t="shared" si="19"/>
        <v>-6.9664565147050511E-5</v>
      </c>
      <c r="N235" s="47">
        <f t="shared" si="20"/>
        <v>8.82791412356531E-3</v>
      </c>
      <c r="O235" s="47">
        <f t="shared" si="21"/>
        <v>-8.4135968689624668E-3</v>
      </c>
      <c r="P235" s="47">
        <f t="shared" si="22"/>
        <v>-2.053184812412972E-3</v>
      </c>
      <c r="Q235" s="47">
        <f t="shared" si="23"/>
        <v>-7.1098474377882326E-4</v>
      </c>
      <c r="R235" s="57"/>
    </row>
    <row r="236" spans="3:18" x14ac:dyDescent="0.3">
      <c r="C236" s="8">
        <v>226</v>
      </c>
      <c r="D236" s="25">
        <v>45784</v>
      </c>
      <c r="E236" s="26">
        <v>1435.4</v>
      </c>
      <c r="F236" s="26">
        <v>1945.6</v>
      </c>
      <c r="G236" s="26">
        <v>2094.9</v>
      </c>
      <c r="H236" s="26">
        <v>1508.3</v>
      </c>
      <c r="I236" s="52">
        <v>1406</v>
      </c>
      <c r="J236" s="44">
        <v>22101.85</v>
      </c>
      <c r="L236" s="58">
        <v>226</v>
      </c>
      <c r="M236" s="47">
        <f t="shared" si="19"/>
        <v>-2.6508561041009484E-3</v>
      </c>
      <c r="N236" s="47">
        <f t="shared" si="20"/>
        <v>-7.1699685596003137E-3</v>
      </c>
      <c r="O236" s="47">
        <f t="shared" si="21"/>
        <v>-1.0026709730626701E-2</v>
      </c>
      <c r="P236" s="47">
        <f t="shared" si="22"/>
        <v>2.1193464453062739E-3</v>
      </c>
      <c r="Q236" s="47">
        <f t="shared" si="23"/>
        <v>1.0541680273419505E-2</v>
      </c>
      <c r="R236" s="57"/>
    </row>
    <row r="237" spans="3:18" x14ac:dyDescent="0.3">
      <c r="C237" s="8">
        <v>227</v>
      </c>
      <c r="D237" s="25">
        <v>45783</v>
      </c>
      <c r="E237" s="26">
        <v>1431.6</v>
      </c>
      <c r="F237" s="26">
        <v>1931.7</v>
      </c>
      <c r="G237" s="26">
        <v>2074</v>
      </c>
      <c r="H237" s="26">
        <v>1511.5</v>
      </c>
      <c r="I237" s="52">
        <v>1420.9</v>
      </c>
      <c r="J237" s="44">
        <v>21848.15</v>
      </c>
      <c r="L237" s="56">
        <v>227</v>
      </c>
      <c r="M237" s="47">
        <f t="shared" si="19"/>
        <v>-1.5379241059921302E-3</v>
      </c>
      <c r="N237" s="47">
        <f t="shared" si="20"/>
        <v>2.6366824116010909E-3</v>
      </c>
      <c r="O237" s="47">
        <f t="shared" si="21"/>
        <v>5.2417826625380847E-3</v>
      </c>
      <c r="P237" s="47">
        <f t="shared" si="22"/>
        <v>-1.9204667999823226E-3</v>
      </c>
      <c r="Q237" s="47">
        <f t="shared" si="23"/>
        <v>7.2926485461413584E-3</v>
      </c>
      <c r="R237" s="57"/>
    </row>
    <row r="238" spans="3:18" x14ac:dyDescent="0.3">
      <c r="C238" s="8">
        <v>228</v>
      </c>
      <c r="D238" s="25">
        <v>45782</v>
      </c>
      <c r="E238" s="26">
        <v>1429.4</v>
      </c>
      <c r="F238" s="26">
        <v>1936.8</v>
      </c>
      <c r="G238" s="26">
        <v>2084.9</v>
      </c>
      <c r="H238" s="26">
        <v>1508.6</v>
      </c>
      <c r="I238" s="52">
        <v>1431.3</v>
      </c>
      <c r="J238" s="44">
        <v>22180.65</v>
      </c>
      <c r="L238" s="58">
        <v>228</v>
      </c>
      <c r="M238" s="47">
        <f t="shared" si="19"/>
        <v>2.0965833383992357E-3</v>
      </c>
      <c r="N238" s="47">
        <f t="shared" si="20"/>
        <v>-6.1111589019640956E-3</v>
      </c>
      <c r="O238" s="47">
        <f t="shared" si="21"/>
        <v>4.6986465069551793E-2</v>
      </c>
      <c r="P238" s="47">
        <f t="shared" si="22"/>
        <v>-1.1938716016444387E-3</v>
      </c>
      <c r="Q238" s="47">
        <f t="shared" si="23"/>
        <v>-6.2375364305307691E-3</v>
      </c>
      <c r="R238" s="57"/>
    </row>
    <row r="239" spans="3:18" x14ac:dyDescent="0.3">
      <c r="C239" s="8">
        <v>229</v>
      </c>
      <c r="D239" s="25">
        <v>45779</v>
      </c>
      <c r="E239" s="26">
        <v>1432.4</v>
      </c>
      <c r="F239" s="26">
        <v>1925</v>
      </c>
      <c r="G239" s="26">
        <v>2185.1999999999998</v>
      </c>
      <c r="H239" s="26">
        <v>1506.8</v>
      </c>
      <c r="I239" s="52">
        <v>1422.4</v>
      </c>
      <c r="J239" s="44">
        <v>22237.599999999999</v>
      </c>
      <c r="L239" s="56">
        <v>229</v>
      </c>
      <c r="M239" s="47">
        <f t="shared" si="19"/>
        <v>-3.7770206474412975E-3</v>
      </c>
      <c r="N239" s="47">
        <f t="shared" si="20"/>
        <v>0</v>
      </c>
      <c r="O239" s="47">
        <f t="shared" si="21"/>
        <v>1.0425059704941377E-2</v>
      </c>
      <c r="P239" s="47">
        <f t="shared" si="22"/>
        <v>-4.4564242830413625E-3</v>
      </c>
      <c r="Q239" s="47">
        <f t="shared" si="23"/>
        <v>-1.2308282991794098E-2</v>
      </c>
      <c r="R239" s="57"/>
    </row>
    <row r="240" spans="3:18" x14ac:dyDescent="0.3">
      <c r="C240" s="8">
        <v>230</v>
      </c>
      <c r="D240" s="25">
        <v>45777</v>
      </c>
      <c r="E240" s="26">
        <v>1427</v>
      </c>
      <c r="F240" s="26">
        <v>1925</v>
      </c>
      <c r="G240" s="26">
        <v>2208.1</v>
      </c>
      <c r="H240" s="26">
        <v>1500.1</v>
      </c>
      <c r="I240" s="52">
        <v>1405</v>
      </c>
      <c r="J240" s="44">
        <v>22085.15</v>
      </c>
      <c r="L240" s="58">
        <v>230</v>
      </c>
      <c r="M240" s="47">
        <f t="shared" si="19"/>
        <v>1.9602358559149325E-3</v>
      </c>
      <c r="N240" s="47">
        <f t="shared" si="20"/>
        <v>-8.4511953782329483E-3</v>
      </c>
      <c r="O240" s="47">
        <f t="shared" si="21"/>
        <v>-1.4049083455574694E-3</v>
      </c>
      <c r="P240" s="47">
        <f t="shared" si="22"/>
        <v>-1.7347215452401131E-3</v>
      </c>
      <c r="Q240" s="47">
        <f t="shared" si="23"/>
        <v>-3.7793748412459009E-3</v>
      </c>
      <c r="R240" s="57"/>
    </row>
    <row r="241" spans="3:18" x14ac:dyDescent="0.3">
      <c r="C241" s="8">
        <v>231</v>
      </c>
      <c r="D241" s="25">
        <v>45776</v>
      </c>
      <c r="E241" s="26">
        <v>1429.8</v>
      </c>
      <c r="F241" s="26">
        <v>1908.8</v>
      </c>
      <c r="G241" s="26">
        <v>2205</v>
      </c>
      <c r="H241" s="26">
        <v>1497.5</v>
      </c>
      <c r="I241" s="52">
        <v>1399.7</v>
      </c>
      <c r="J241" s="44">
        <v>22005.75</v>
      </c>
      <c r="L241" s="56">
        <v>231</v>
      </c>
      <c r="M241" s="47">
        <f t="shared" si="19"/>
        <v>-6.9964321051688063E-4</v>
      </c>
      <c r="N241" s="47">
        <f t="shared" si="20"/>
        <v>5.9545749198718582E-3</v>
      </c>
      <c r="O241" s="47">
        <f t="shared" si="21"/>
        <v>9.2990332882319626E-3</v>
      </c>
      <c r="P241" s="47">
        <f t="shared" si="22"/>
        <v>-1.0337050026735174E-2</v>
      </c>
      <c r="Q241" s="47">
        <f t="shared" si="23"/>
        <v>-2.2323484348616564E-2</v>
      </c>
      <c r="R241" s="57"/>
    </row>
    <row r="242" spans="3:18" x14ac:dyDescent="0.3">
      <c r="C242" s="8">
        <v>232</v>
      </c>
      <c r="D242" s="25">
        <v>45775</v>
      </c>
      <c r="E242" s="26">
        <v>1428.8</v>
      </c>
      <c r="F242" s="26">
        <v>1920.2</v>
      </c>
      <c r="G242" s="26">
        <v>2225.6</v>
      </c>
      <c r="H242" s="26">
        <v>1482.1</v>
      </c>
      <c r="I242" s="52">
        <v>1368.8</v>
      </c>
      <c r="J242" s="44">
        <v>21681.55</v>
      </c>
      <c r="L242" s="58">
        <v>232</v>
      </c>
      <c r="M242" s="47">
        <f t="shared" si="19"/>
        <v>-1.6939987241382334E-2</v>
      </c>
      <c r="N242" s="47">
        <f t="shared" si="20"/>
        <v>-4.6980302519235816E-3</v>
      </c>
      <c r="O242" s="47">
        <f t="shared" si="21"/>
        <v>-9.5711791600980502E-3</v>
      </c>
      <c r="P242" s="47">
        <f t="shared" si="22"/>
        <v>-1.2827871995032551E-3</v>
      </c>
      <c r="Q242" s="47">
        <f t="shared" si="23"/>
        <v>-5.1262534148233285E-2</v>
      </c>
      <c r="R242" s="57"/>
    </row>
    <row r="243" spans="3:18" x14ac:dyDescent="0.3">
      <c r="C243" s="8">
        <v>233</v>
      </c>
      <c r="D243" s="25">
        <v>45772</v>
      </c>
      <c r="E243" s="26">
        <v>1404.8</v>
      </c>
      <c r="F243" s="26">
        <v>1911.2</v>
      </c>
      <c r="G243" s="26">
        <v>2204.4</v>
      </c>
      <c r="H243" s="26">
        <v>1480.2</v>
      </c>
      <c r="I243" s="52">
        <v>1300.4000000000001</v>
      </c>
      <c r="J243" s="44">
        <v>21404.35</v>
      </c>
      <c r="L243" s="56">
        <v>233</v>
      </c>
      <c r="M243" s="47">
        <f t="shared" si="19"/>
        <v>-1.4959931552264271E-3</v>
      </c>
      <c r="N243" s="47">
        <f t="shared" si="20"/>
        <v>2.9258119095302865E-3</v>
      </c>
      <c r="O243" s="47">
        <f t="shared" si="21"/>
        <v>8.4022719551162129E-3</v>
      </c>
      <c r="P243" s="47">
        <f t="shared" si="22"/>
        <v>-5.9628852652019258E-3</v>
      </c>
      <c r="Q243" s="47">
        <f t="shared" si="23"/>
        <v>9.2236747507769073E-4</v>
      </c>
      <c r="R243" s="57"/>
    </row>
    <row r="244" spans="3:18" x14ac:dyDescent="0.3">
      <c r="C244" s="8">
        <v>234</v>
      </c>
      <c r="D244" s="25">
        <v>45771</v>
      </c>
      <c r="E244" s="26">
        <v>1402.7</v>
      </c>
      <c r="F244" s="26">
        <v>1916.8</v>
      </c>
      <c r="G244" s="26">
        <v>2223</v>
      </c>
      <c r="H244" s="26">
        <v>1471.4</v>
      </c>
      <c r="I244" s="52">
        <v>1301.5999999999999</v>
      </c>
      <c r="J244" s="44">
        <v>21279.4</v>
      </c>
      <c r="L244" s="58">
        <v>234</v>
      </c>
      <c r="M244" s="47">
        <f t="shared" si="19"/>
        <v>1.5351721677996977E-2</v>
      </c>
      <c r="N244" s="47">
        <f t="shared" si="20"/>
        <v>3.6972469017968273E-3</v>
      </c>
      <c r="O244" s="47">
        <f t="shared" si="21"/>
        <v>1.7977532931710625E-3</v>
      </c>
      <c r="P244" s="47">
        <f t="shared" si="22"/>
        <v>2.3758623672926501E-3</v>
      </c>
      <c r="Q244" s="47">
        <f t="shared" si="23"/>
        <v>-1.2300124551998207E-3</v>
      </c>
      <c r="R244" s="57"/>
    </row>
    <row r="245" spans="3:18" x14ac:dyDescent="0.3">
      <c r="C245" s="8">
        <v>235</v>
      </c>
      <c r="D245" s="25">
        <v>45770</v>
      </c>
      <c r="E245" s="26">
        <v>1424.4</v>
      </c>
      <c r="F245" s="26">
        <v>1923.9</v>
      </c>
      <c r="G245" s="26">
        <v>2227</v>
      </c>
      <c r="H245" s="26">
        <v>1474.9</v>
      </c>
      <c r="I245" s="52">
        <v>1300</v>
      </c>
      <c r="J245" s="44">
        <v>20752.849999999999</v>
      </c>
      <c r="L245" s="56">
        <v>235</v>
      </c>
      <c r="M245" s="47">
        <f t="shared" si="19"/>
        <v>-5.5616321330514695E-3</v>
      </c>
      <c r="N245" s="47">
        <f t="shared" si="20"/>
        <v>1.9457068412412959E-2</v>
      </c>
      <c r="O245" s="47">
        <f t="shared" si="21"/>
        <v>1.859566908044083E-2</v>
      </c>
      <c r="P245" s="47">
        <f t="shared" si="22"/>
        <v>-3.5963429791156659E-2</v>
      </c>
      <c r="Q245" s="47">
        <f t="shared" si="23"/>
        <v>-6.7922459339437328E-3</v>
      </c>
      <c r="R245" s="57"/>
    </row>
    <row r="246" spans="3:18" x14ac:dyDescent="0.3">
      <c r="C246" s="8">
        <v>236</v>
      </c>
      <c r="D246" s="25">
        <v>45769</v>
      </c>
      <c r="E246" s="26">
        <v>1416.5</v>
      </c>
      <c r="F246" s="26">
        <v>1961.7</v>
      </c>
      <c r="G246" s="26">
        <v>2268.8000000000002</v>
      </c>
      <c r="H246" s="26">
        <v>1422.8</v>
      </c>
      <c r="I246" s="52">
        <v>1291.2</v>
      </c>
      <c r="J246" s="44">
        <v>20356.75</v>
      </c>
      <c r="L246" s="58">
        <v>236</v>
      </c>
      <c r="M246" s="47">
        <f t="shared" si="19"/>
        <v>-4.7411899307960555E-3</v>
      </c>
      <c r="N246" s="47">
        <f t="shared" si="20"/>
        <v>-1.779516203146508E-2</v>
      </c>
      <c r="O246" s="47">
        <f t="shared" si="21"/>
        <v>-1.2150386719880769E-2</v>
      </c>
      <c r="P246" s="47">
        <f t="shared" si="22"/>
        <v>1.9626212809887772E-2</v>
      </c>
      <c r="Q246" s="47">
        <f t="shared" si="23"/>
        <v>3.3247024864801857E-3</v>
      </c>
      <c r="R246" s="57"/>
    </row>
    <row r="247" spans="3:18" x14ac:dyDescent="0.3">
      <c r="C247" s="8">
        <v>237</v>
      </c>
      <c r="D247" s="25">
        <v>45768</v>
      </c>
      <c r="E247" s="26">
        <v>1409.8</v>
      </c>
      <c r="F247" s="26">
        <v>1927.1</v>
      </c>
      <c r="G247" s="26">
        <v>2241.4</v>
      </c>
      <c r="H247" s="26">
        <v>1451</v>
      </c>
      <c r="I247" s="52">
        <v>1295.5</v>
      </c>
      <c r="J247" s="44">
        <v>20480.8</v>
      </c>
      <c r="L247" s="56">
        <v>237</v>
      </c>
      <c r="M247" s="47">
        <f t="shared" si="19"/>
        <v>-2.2013145761248464E-3</v>
      </c>
      <c r="N247" s="47">
        <f t="shared" si="20"/>
        <v>-1.0642283133475912E-2</v>
      </c>
      <c r="O247" s="47">
        <f t="shared" si="21"/>
        <v>-2.4067083281321976E-2</v>
      </c>
      <c r="P247" s="47">
        <f t="shared" si="22"/>
        <v>-2.1948276971161938E-2</v>
      </c>
      <c r="Q247" s="47">
        <f t="shared" si="23"/>
        <v>-1.6342776185994504E-2</v>
      </c>
      <c r="R247" s="57"/>
    </row>
    <row r="248" spans="3:18" x14ac:dyDescent="0.3">
      <c r="C248" s="8">
        <v>238</v>
      </c>
      <c r="D248" s="25">
        <v>45764</v>
      </c>
      <c r="E248" s="26">
        <v>1406.7</v>
      </c>
      <c r="F248" s="26">
        <v>1906.7</v>
      </c>
      <c r="G248" s="26">
        <v>2188.1</v>
      </c>
      <c r="H248" s="26">
        <v>1419.5</v>
      </c>
      <c r="I248" s="52">
        <v>1274.5</v>
      </c>
      <c r="J248" s="44">
        <v>20105.7</v>
      </c>
      <c r="L248" s="58">
        <v>238</v>
      </c>
      <c r="M248" s="47">
        <f t="shared" si="19"/>
        <v>-3.6412404512166777E-2</v>
      </c>
      <c r="N248" s="47">
        <f t="shared" si="20"/>
        <v>-1.5166618302190838E-2</v>
      </c>
      <c r="O248" s="47">
        <f t="shared" si="21"/>
        <v>-3.0015009757132952E-2</v>
      </c>
      <c r="P248" s="47">
        <f t="shared" si="22"/>
        <v>-4.5188243243254765E-3</v>
      </c>
      <c r="Q248" s="47">
        <f t="shared" si="23"/>
        <v>-2.800724074534167E-2</v>
      </c>
      <c r="R248" s="57"/>
    </row>
    <row r="249" spans="3:18" x14ac:dyDescent="0.3">
      <c r="C249" s="8">
        <v>239</v>
      </c>
      <c r="D249" s="25">
        <v>45763</v>
      </c>
      <c r="E249" s="26">
        <v>1356.4</v>
      </c>
      <c r="F249" s="26">
        <v>1878</v>
      </c>
      <c r="G249" s="26">
        <v>2123.4</v>
      </c>
      <c r="H249" s="26">
        <v>1413.1</v>
      </c>
      <c r="I249" s="52">
        <v>1239.3</v>
      </c>
      <c r="J249" s="44">
        <v>20805.349999999999</v>
      </c>
      <c r="L249" s="56">
        <v>239</v>
      </c>
      <c r="M249" s="47">
        <f t="shared" si="19"/>
        <v>-4.5814016437134807E-3</v>
      </c>
      <c r="N249" s="47">
        <f t="shared" si="20"/>
        <v>-6.9999484308074745E-3</v>
      </c>
      <c r="O249" s="47">
        <f t="shared" si="21"/>
        <v>-1.5081537404755397E-3</v>
      </c>
      <c r="P249" s="47">
        <f t="shared" si="22"/>
        <v>9.0874493855408068E-3</v>
      </c>
      <c r="Q249" s="47">
        <f t="shared" si="23"/>
        <v>6.453174378981835E-4</v>
      </c>
      <c r="R249" s="57"/>
    </row>
    <row r="250" spans="3:18" x14ac:dyDescent="0.3">
      <c r="C250" s="8">
        <v>240</v>
      </c>
      <c r="D250" s="25">
        <v>45762</v>
      </c>
      <c r="E250" s="26">
        <v>1350.2</v>
      </c>
      <c r="F250" s="26">
        <v>1864.9</v>
      </c>
      <c r="G250" s="26">
        <v>2120.1999999999998</v>
      </c>
      <c r="H250" s="26">
        <v>1426</v>
      </c>
      <c r="I250" s="52">
        <v>1240.0999999999999</v>
      </c>
      <c r="J250" s="44">
        <v>21243.4</v>
      </c>
      <c r="L250" s="58">
        <v>240</v>
      </c>
      <c r="M250" s="47">
        <f t="shared" si="19"/>
        <v>-2.8966842985409174E-2</v>
      </c>
      <c r="N250" s="47">
        <f t="shared" si="20"/>
        <v>-3.1677781174310221E-2</v>
      </c>
      <c r="O250" s="47">
        <f t="shared" si="21"/>
        <v>-4.2539176498829394E-3</v>
      </c>
      <c r="P250" s="47">
        <f t="shared" si="22"/>
        <v>-1.167376462146469E-2</v>
      </c>
      <c r="Q250" s="47">
        <f t="shared" si="23"/>
        <v>-1.7202189095919938E-2</v>
      </c>
      <c r="R250" s="57"/>
    </row>
    <row r="251" spans="3:18" x14ac:dyDescent="0.3">
      <c r="C251" s="8">
        <v>241</v>
      </c>
      <c r="D251" s="25">
        <v>45758</v>
      </c>
      <c r="E251" s="26">
        <v>1311.65</v>
      </c>
      <c r="F251" s="26">
        <v>1806.75</v>
      </c>
      <c r="G251" s="26">
        <v>2111.1999999999998</v>
      </c>
      <c r="H251" s="26">
        <v>1409.45</v>
      </c>
      <c r="I251" s="52">
        <v>1218.95</v>
      </c>
      <c r="J251" s="44">
        <v>21265.65</v>
      </c>
      <c r="L251" s="56">
        <v>241</v>
      </c>
      <c r="M251" s="47">
        <f t="shared" si="19"/>
        <v>-8.3064268288148765E-3</v>
      </c>
      <c r="N251" s="47">
        <f t="shared" si="20"/>
        <v>-2.337896079569329E-2</v>
      </c>
      <c r="O251" s="47">
        <f t="shared" si="21"/>
        <v>-2.8100506465981206E-2</v>
      </c>
      <c r="P251" s="47">
        <f t="shared" si="22"/>
        <v>-4.0879498124961637E-3</v>
      </c>
      <c r="Q251" s="47">
        <f t="shared" si="23"/>
        <v>-2.7951742803565383E-2</v>
      </c>
      <c r="R251" s="57"/>
    </row>
    <row r="252" spans="3:18" x14ac:dyDescent="0.3">
      <c r="C252" s="8">
        <v>242</v>
      </c>
      <c r="D252" s="25">
        <v>45756</v>
      </c>
      <c r="E252" s="26">
        <v>1300.8</v>
      </c>
      <c r="F252" s="26">
        <v>1765</v>
      </c>
      <c r="G252" s="26">
        <v>2052.6999999999998</v>
      </c>
      <c r="H252" s="26">
        <v>1403.7</v>
      </c>
      <c r="I252" s="52">
        <v>1185.3499999999999</v>
      </c>
      <c r="J252" s="44">
        <v>21070.75</v>
      </c>
      <c r="L252" s="58">
        <v>242</v>
      </c>
      <c r="M252" s="47">
        <f t="shared" si="19"/>
        <v>-6.9212137957262384E-4</v>
      </c>
      <c r="N252" s="47">
        <f t="shared" si="20"/>
        <v>2.3485148663475877E-3</v>
      </c>
      <c r="O252" s="47">
        <f t="shared" si="21"/>
        <v>1.1928382440944214E-3</v>
      </c>
      <c r="P252" s="47">
        <f t="shared" si="22"/>
        <v>1.7723323581954293E-2</v>
      </c>
      <c r="Q252" s="47">
        <f t="shared" si="23"/>
        <v>-2.6609802189722039E-3</v>
      </c>
      <c r="R252" s="57"/>
    </row>
    <row r="253" spans="3:18" x14ac:dyDescent="0.3">
      <c r="C253" s="8">
        <v>243</v>
      </c>
      <c r="D253" s="25">
        <v>45755</v>
      </c>
      <c r="E253" s="26">
        <v>1299.9000000000001</v>
      </c>
      <c r="F253" s="26">
        <v>1769.15</v>
      </c>
      <c r="G253" s="26">
        <v>2055.15</v>
      </c>
      <c r="H253" s="26">
        <v>1428.8</v>
      </c>
      <c r="I253" s="52">
        <v>1182.2</v>
      </c>
      <c r="J253" s="44">
        <v>21339.55</v>
      </c>
      <c r="L253" s="56">
        <v>243</v>
      </c>
      <c r="M253" s="47">
        <f t="shared" si="19"/>
        <v>-9.5461506786832101E-3</v>
      </c>
      <c r="N253" s="47">
        <f t="shared" si="20"/>
        <v>-6.4930690148921263E-3</v>
      </c>
      <c r="O253" s="47">
        <f t="shared" si="21"/>
        <v>-8.4535074634526017E-3</v>
      </c>
      <c r="P253" s="47">
        <f t="shared" si="22"/>
        <v>-2.2686821782976384E-2</v>
      </c>
      <c r="Q253" s="47">
        <f t="shared" si="23"/>
        <v>-1.4055344464482448E-2</v>
      </c>
      <c r="R253" s="57"/>
    </row>
    <row r="254" spans="3:18" x14ac:dyDescent="0.3">
      <c r="C254" s="8">
        <v>244</v>
      </c>
      <c r="D254" s="25">
        <v>45754</v>
      </c>
      <c r="E254" s="26">
        <v>1287.55</v>
      </c>
      <c r="F254" s="26">
        <v>1757.7</v>
      </c>
      <c r="G254" s="26">
        <v>2037.85</v>
      </c>
      <c r="H254" s="26">
        <v>1396.75</v>
      </c>
      <c r="I254" s="52">
        <v>1165.7</v>
      </c>
      <c r="J254" s="44">
        <v>21407.95</v>
      </c>
      <c r="L254" s="58">
        <v>244</v>
      </c>
      <c r="M254" s="47">
        <f t="shared" si="19"/>
        <v>3.641479795462791E-2</v>
      </c>
      <c r="N254" s="47">
        <f t="shared" si="20"/>
        <v>3.3345746868362842E-2</v>
      </c>
      <c r="O254" s="47">
        <f t="shared" si="21"/>
        <v>4.5141723349355567E-2</v>
      </c>
      <c r="P254" s="47">
        <f t="shared" si="22"/>
        <v>3.8552731157070447E-2</v>
      </c>
      <c r="Q254" s="47">
        <f t="shared" si="23"/>
        <v>3.290880834702041E-2</v>
      </c>
      <c r="R254" s="57"/>
    </row>
    <row r="255" spans="3:18" x14ac:dyDescent="0.3">
      <c r="C255" s="8">
        <v>245</v>
      </c>
      <c r="D255" s="25">
        <v>45751</v>
      </c>
      <c r="E255" s="26">
        <v>1335.3</v>
      </c>
      <c r="F255" s="26">
        <v>1817.3</v>
      </c>
      <c r="G255" s="26">
        <v>2131.9499999999998</v>
      </c>
      <c r="H255" s="26">
        <v>1451.65</v>
      </c>
      <c r="I255" s="52">
        <v>1204.7</v>
      </c>
      <c r="J255" s="44">
        <v>21275.45</v>
      </c>
      <c r="L255" s="56">
        <v>245</v>
      </c>
      <c r="M255" s="47">
        <f t="shared" si="19"/>
        <v>-4.3154465906568807E-3</v>
      </c>
      <c r="N255" s="47">
        <f t="shared" si="20"/>
        <v>-1.2430430116234001E-2</v>
      </c>
      <c r="O255" s="47">
        <f t="shared" si="21"/>
        <v>3.0483873094860859E-4</v>
      </c>
      <c r="P255" s="47">
        <f t="shared" si="22"/>
        <v>3.0428207796425188E-2</v>
      </c>
      <c r="Q255" s="47">
        <f t="shared" si="23"/>
        <v>3.5872436848292472E-2</v>
      </c>
      <c r="R255" s="57"/>
    </row>
    <row r="256" spans="3:18" x14ac:dyDescent="0.3">
      <c r="C256" s="8">
        <v>246</v>
      </c>
      <c r="D256" s="25">
        <v>45750</v>
      </c>
      <c r="E256" s="26">
        <v>1329.55</v>
      </c>
      <c r="F256" s="26">
        <v>1794.85</v>
      </c>
      <c r="G256" s="26">
        <v>2132.6</v>
      </c>
      <c r="H256" s="26">
        <v>1496.5</v>
      </c>
      <c r="I256" s="52">
        <v>1248.7</v>
      </c>
      <c r="J256" s="44">
        <v>21437.75</v>
      </c>
      <c r="L256" s="58">
        <v>246</v>
      </c>
      <c r="M256" s="47">
        <f t="shared" si="19"/>
        <v>1.2778113584738225E-3</v>
      </c>
      <c r="N256" s="47">
        <f t="shared" si="20"/>
        <v>1.1415049614264341E-3</v>
      </c>
      <c r="O256" s="47">
        <f t="shared" si="21"/>
        <v>1.0263198876012977E-2</v>
      </c>
      <c r="P256" s="47">
        <f t="shared" si="22"/>
        <v>3.5222652131766945E-2</v>
      </c>
      <c r="Q256" s="47">
        <f t="shared" si="23"/>
        <v>1.9601182346310401E-3</v>
      </c>
      <c r="R256" s="57"/>
    </row>
    <row r="257" spans="3:18" x14ac:dyDescent="0.3">
      <c r="C257" s="8">
        <v>247</v>
      </c>
      <c r="D257" s="25">
        <v>45749</v>
      </c>
      <c r="E257" s="26">
        <v>1331.25</v>
      </c>
      <c r="F257" s="26">
        <v>1796.9</v>
      </c>
      <c r="G257" s="26">
        <v>2154.6</v>
      </c>
      <c r="H257" s="26">
        <v>1550.15</v>
      </c>
      <c r="I257" s="52">
        <v>1251.1500000000001</v>
      </c>
      <c r="J257" s="44">
        <v>21538.1</v>
      </c>
      <c r="L257" s="56">
        <v>247</v>
      </c>
      <c r="M257" s="47">
        <f t="shared" si="19"/>
        <v>-9.6615462643718786E-3</v>
      </c>
      <c r="N257" s="47">
        <f t="shared" si="20"/>
        <v>-1.6298838963033194E-2</v>
      </c>
      <c r="O257" s="47">
        <f t="shared" si="21"/>
        <v>-4.046046677644184E-3</v>
      </c>
      <c r="P257" s="47">
        <f t="shared" si="22"/>
        <v>-1.5374167249588077E-2</v>
      </c>
      <c r="Q257" s="47">
        <f t="shared" si="23"/>
        <v>1.1582627355818872E-3</v>
      </c>
      <c r="R257" s="57"/>
    </row>
    <row r="258" spans="3:18" x14ac:dyDescent="0.3">
      <c r="C258" s="8">
        <v>248</v>
      </c>
      <c r="D258" s="25">
        <v>45748</v>
      </c>
      <c r="E258" s="26">
        <v>1318.45</v>
      </c>
      <c r="F258" s="26">
        <v>1767.85</v>
      </c>
      <c r="G258" s="26">
        <v>2145.9</v>
      </c>
      <c r="H258" s="26">
        <v>1526.5</v>
      </c>
      <c r="I258" s="52">
        <v>1252.5999999999999</v>
      </c>
      <c r="J258" s="44">
        <v>21273.9</v>
      </c>
      <c r="L258" s="58">
        <v>248</v>
      </c>
      <c r="M258" s="47">
        <f t="shared" si="19"/>
        <v>2.2424818494154571E-2</v>
      </c>
      <c r="N258" s="47">
        <f t="shared" si="20"/>
        <v>3.3567757250343631E-2</v>
      </c>
      <c r="O258" s="47">
        <f t="shared" si="21"/>
        <v>1.1720965298156673E-2</v>
      </c>
      <c r="P258" s="47">
        <f t="shared" si="22"/>
        <v>2.8512013226648189E-2</v>
      </c>
      <c r="Q258" s="47">
        <f t="shared" si="23"/>
        <v>1.7803215798183745E-2</v>
      </c>
      <c r="R258" s="57"/>
    </row>
    <row r="259" spans="3:18" x14ac:dyDescent="0.3">
      <c r="C259" s="8">
        <v>249</v>
      </c>
      <c r="D259" s="25">
        <v>45744</v>
      </c>
      <c r="E259" s="26">
        <v>1348.35</v>
      </c>
      <c r="F259" s="26">
        <v>1828.2</v>
      </c>
      <c r="G259" s="26">
        <v>2171.1999999999998</v>
      </c>
      <c r="H259" s="26">
        <v>1570.65</v>
      </c>
      <c r="I259" s="52">
        <v>1275.0999999999999</v>
      </c>
      <c r="J259" s="44">
        <v>21174.5</v>
      </c>
      <c r="L259" s="56">
        <v>249</v>
      </c>
      <c r="M259" s="47">
        <f t="shared" si="19"/>
        <v>-8.7151389606793632E-3</v>
      </c>
      <c r="N259" s="47">
        <f t="shared" si="20"/>
        <v>-1.5601267687997075E-3</v>
      </c>
      <c r="O259" s="47">
        <f t="shared" si="21"/>
        <v>-1.9792034131948355E-2</v>
      </c>
      <c r="P259" s="47">
        <f t="shared" si="22"/>
        <v>2.0730375035321508E-2</v>
      </c>
      <c r="Q259" s="47">
        <f t="shared" si="23"/>
        <v>2.4282313266852495E-3</v>
      </c>
      <c r="R259" s="57"/>
    </row>
    <row r="260" spans="3:18" x14ac:dyDescent="0.3">
      <c r="C260" s="8">
        <v>250</v>
      </c>
      <c r="D260" s="25">
        <v>45743</v>
      </c>
      <c r="E260" s="26">
        <v>1336.65</v>
      </c>
      <c r="F260" s="26">
        <v>1825.35</v>
      </c>
      <c r="G260" s="26">
        <v>2128.65</v>
      </c>
      <c r="H260" s="26">
        <v>1603.55</v>
      </c>
      <c r="I260" s="52">
        <v>1278.2</v>
      </c>
      <c r="J260" s="44">
        <v>21178.5</v>
      </c>
      <c r="L260" s="58">
        <v>250</v>
      </c>
      <c r="M260" s="47">
        <f t="shared" si="19"/>
        <v>-5.6126173107213996E-4</v>
      </c>
      <c r="N260" s="47">
        <f t="shared" si="20"/>
        <v>-1.0352800416189727E-2</v>
      </c>
      <c r="O260" s="47">
        <f t="shared" si="21"/>
        <v>7.6049552800929784E-3</v>
      </c>
      <c r="P260" s="47">
        <f t="shared" si="22"/>
        <v>-2.5601013046041479E-3</v>
      </c>
      <c r="Q260" s="47">
        <f t="shared" si="23"/>
        <v>-4.03724213238586E-3</v>
      </c>
      <c r="R260" s="57"/>
    </row>
    <row r="261" spans="3:18" x14ac:dyDescent="0.3">
      <c r="C261" s="8">
        <v>251</v>
      </c>
      <c r="D261" s="25">
        <v>45742</v>
      </c>
      <c r="E261" s="26">
        <v>1335.9</v>
      </c>
      <c r="F261" s="26">
        <v>1806.55</v>
      </c>
      <c r="G261" s="26">
        <v>2144.9</v>
      </c>
      <c r="H261" s="26">
        <v>1599.45</v>
      </c>
      <c r="I261" s="52">
        <v>1273.05</v>
      </c>
      <c r="J261" s="44">
        <v>21077.200000000001</v>
      </c>
      <c r="L261" s="56">
        <v>251</v>
      </c>
      <c r="M261" s="47">
        <f t="shared" si="19"/>
        <v>5.8217808855976572E-3</v>
      </c>
      <c r="N261" s="47">
        <f t="shared" si="20"/>
        <v>8.2139381332087449E-3</v>
      </c>
      <c r="O261" s="47">
        <f t="shared" si="21"/>
        <v>1.1634236305755934E-2</v>
      </c>
      <c r="P261" s="47">
        <f t="shared" si="22"/>
        <v>1.796882201162698E-2</v>
      </c>
      <c r="Q261" s="47">
        <f t="shared" si="23"/>
        <v>9.6932554942533843E-3</v>
      </c>
      <c r="R261" s="57"/>
    </row>
    <row r="262" spans="3:18" ht="16.2" thickBot="1" x14ac:dyDescent="0.35">
      <c r="C262" s="8">
        <v>252</v>
      </c>
      <c r="D262" s="25">
        <v>45741</v>
      </c>
      <c r="E262" s="26">
        <v>1343.7</v>
      </c>
      <c r="F262" s="26">
        <v>1821.45</v>
      </c>
      <c r="G262" s="26">
        <v>2170</v>
      </c>
      <c r="H262" s="26">
        <v>1628.45</v>
      </c>
      <c r="I262" s="52">
        <v>1285.45</v>
      </c>
      <c r="J262" s="44">
        <v>21065.4</v>
      </c>
      <c r="L262" s="59">
        <v>252</v>
      </c>
      <c r="M262" s="10">
        <f t="shared" si="19"/>
        <v>1.0696476691157059E-2</v>
      </c>
      <c r="N262" s="10">
        <f t="shared" si="20"/>
        <v>-1.1846222283681576E-2</v>
      </c>
      <c r="O262" s="10">
        <f t="shared" si="21"/>
        <v>2.830092889030742E-3</v>
      </c>
      <c r="P262" s="10">
        <f t="shared" si="22"/>
        <v>-2.2166560147327534E-2</v>
      </c>
      <c r="Q262" s="10">
        <f t="shared" si="23"/>
        <v>1.2869494156633641E-2</v>
      </c>
      <c r="R262" s="60"/>
    </row>
    <row r="263" spans="3:18" ht="16.2" thickBot="1" x14ac:dyDescent="0.35">
      <c r="C263" s="9">
        <v>253</v>
      </c>
      <c r="D263" s="28">
        <v>45740</v>
      </c>
      <c r="E263" s="29">
        <v>1358.15</v>
      </c>
      <c r="F263" s="29">
        <v>1800</v>
      </c>
      <c r="G263" s="29">
        <v>2176.15</v>
      </c>
      <c r="H263" s="29">
        <v>1592.75</v>
      </c>
      <c r="I263" s="53">
        <v>1302.0999999999999</v>
      </c>
      <c r="J263" s="45">
        <v>21055.599999999999</v>
      </c>
    </row>
  </sheetData>
  <sortState ref="C11:I263">
    <sortCondition descending="1" ref="D10"/>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D11"/>
  <sheetViews>
    <sheetView workbookViewId="0">
      <selection activeCell="F10" sqref="F10"/>
    </sheetView>
  </sheetViews>
  <sheetFormatPr defaultRowHeight="15.6" x14ac:dyDescent="0.3"/>
  <cols>
    <col min="3" max="4" width="15.19921875" customWidth="1"/>
  </cols>
  <sheetData>
    <row r="6" spans="3:4" x14ac:dyDescent="0.3">
      <c r="C6" s="1" t="s">
        <v>28</v>
      </c>
    </row>
    <row r="7" spans="3:4" ht="16.2" thickBot="1" x14ac:dyDescent="0.35">
      <c r="C7" s="70" t="s">
        <v>27</v>
      </c>
    </row>
    <row r="8" spans="3:4" x14ac:dyDescent="0.3">
      <c r="C8" s="54" t="s">
        <v>23</v>
      </c>
      <c r="D8" s="24">
        <f>100*_xlfn.NORM.S.INV(95%)*'Covariance Variance Matrix '!Z23</f>
        <v>3.9650662933564389</v>
      </c>
    </row>
    <row r="9" spans="3:4" x14ac:dyDescent="0.3">
      <c r="C9" s="68" t="s">
        <v>24</v>
      </c>
      <c r="D9" s="44">
        <f>100*_xlfn.NORM.S.INV(95%)*'Covariance Variance Matrix '!Z24</f>
        <v>62.943476064634893</v>
      </c>
    </row>
    <row r="10" spans="3:4" x14ac:dyDescent="0.3">
      <c r="C10" s="68" t="s">
        <v>25</v>
      </c>
      <c r="D10" s="44">
        <f>100*_xlfn.NORM.S.INV(99%)*'Covariance Variance Matrix '!Z23</f>
        <v>5.6078689257453842</v>
      </c>
    </row>
    <row r="11" spans="3:4" ht="16.2" thickBot="1" x14ac:dyDescent="0.35">
      <c r="C11" s="69" t="s">
        <v>26</v>
      </c>
      <c r="D11" s="45">
        <f>100*_xlfn.NORM.S.INV(99%)*'Covariance Variance Matrix '!Z24</f>
        <v>89.022159375415384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N20"/>
  <sheetViews>
    <sheetView topLeftCell="B1" workbookViewId="0">
      <selection activeCell="D12" sqref="D12"/>
    </sheetView>
  </sheetViews>
  <sheetFormatPr defaultRowHeight="15.6" x14ac:dyDescent="0.3"/>
  <cols>
    <col min="3" max="3" width="21.59765625" customWidth="1"/>
    <col min="4" max="4" width="11.8984375" customWidth="1"/>
    <col min="5" max="6" width="10.5" customWidth="1"/>
    <col min="7" max="7" width="17" customWidth="1"/>
    <col min="9" max="9" width="13.09765625" customWidth="1"/>
    <col min="10" max="10" width="13.69921875" customWidth="1"/>
    <col min="11" max="11" width="14" customWidth="1"/>
    <col min="12" max="12" width="13.09765625" customWidth="1"/>
    <col min="13" max="13" width="19.296875" customWidth="1"/>
  </cols>
  <sheetData>
    <row r="3" spans="3:14" x14ac:dyDescent="0.3">
      <c r="I3" s="1" t="s">
        <v>0</v>
      </c>
      <c r="J3" s="1" t="s">
        <v>1</v>
      </c>
      <c r="K3" s="1" t="s">
        <v>2</v>
      </c>
      <c r="L3" s="1" t="s">
        <v>3</v>
      </c>
      <c r="M3" s="1" t="s">
        <v>4</v>
      </c>
      <c r="N3" s="1"/>
    </row>
    <row r="4" spans="3:14" ht="16.2" thickBot="1" x14ac:dyDescent="0.35">
      <c r="C4" s="1" t="s">
        <v>29</v>
      </c>
      <c r="D4" s="1" t="s">
        <v>30</v>
      </c>
      <c r="E4" s="1" t="s">
        <v>31</v>
      </c>
      <c r="F4" s="1"/>
      <c r="I4" s="82">
        <f>H5</f>
        <v>0.60000000000000009</v>
      </c>
      <c r="J4" s="82">
        <f>H6</f>
        <v>0.1</v>
      </c>
      <c r="K4" s="82">
        <f>H7</f>
        <v>0.1</v>
      </c>
      <c r="L4" s="82">
        <f>H8</f>
        <v>0.1</v>
      </c>
      <c r="M4" s="82">
        <f>H9</f>
        <v>0.1</v>
      </c>
      <c r="N4" s="1"/>
    </row>
    <row r="5" spans="3:14" x14ac:dyDescent="0.3">
      <c r="C5" t="s">
        <v>0</v>
      </c>
      <c r="D5" s="7">
        <v>3.4391554021495944E-4</v>
      </c>
      <c r="E5" s="7">
        <v>0.60000000000000009</v>
      </c>
      <c r="F5" s="7"/>
      <c r="G5" s="1" t="s">
        <v>0</v>
      </c>
      <c r="H5" s="82">
        <f>E5</f>
        <v>0.60000000000000009</v>
      </c>
      <c r="I5" s="73">
        <v>1.2177189284815591E-4</v>
      </c>
      <c r="J5" s="74">
        <v>8.1525654678926606E-5</v>
      </c>
      <c r="K5" s="74">
        <v>1.5502937423889689E-4</v>
      </c>
      <c r="L5" s="74">
        <v>2.0698240802506689E-5</v>
      </c>
      <c r="M5" s="75">
        <v>3.562954599493307E-5</v>
      </c>
    </row>
    <row r="6" spans="3:14" x14ac:dyDescent="0.3">
      <c r="C6" t="s">
        <v>1</v>
      </c>
      <c r="D6" s="7">
        <v>3.316155823332678E-3</v>
      </c>
      <c r="E6" s="7">
        <v>0.1</v>
      </c>
      <c r="F6" s="7"/>
      <c r="G6" s="1" t="s">
        <v>1</v>
      </c>
      <c r="H6" s="82">
        <f t="shared" ref="H6:H9" si="0">E6</f>
        <v>0.1</v>
      </c>
      <c r="I6" s="76">
        <v>8.1525654678926606E-5</v>
      </c>
      <c r="J6" s="77">
        <v>2.0637172765250785E-3</v>
      </c>
      <c r="K6" s="77">
        <v>2.6388553204466874E-5</v>
      </c>
      <c r="L6" s="77">
        <v>8.0076129497113672E-5</v>
      </c>
      <c r="M6" s="78">
        <v>8.5259812618013222E-5</v>
      </c>
    </row>
    <row r="7" spans="3:14" x14ac:dyDescent="0.3">
      <c r="C7" t="s">
        <v>2</v>
      </c>
      <c r="D7" s="7">
        <v>6.9734937113933651E-3</v>
      </c>
      <c r="E7" s="7">
        <v>0.1</v>
      </c>
      <c r="F7" s="7"/>
      <c r="G7" s="1" t="s">
        <v>2</v>
      </c>
      <c r="H7" s="82">
        <f t="shared" si="0"/>
        <v>0.1</v>
      </c>
      <c r="I7" s="76">
        <v>1.5502937423889689E-4</v>
      </c>
      <c r="J7" s="77">
        <v>2.6388553204466874E-5</v>
      </c>
      <c r="K7" s="77">
        <v>1.0616012802898204E-2</v>
      </c>
      <c r="L7" s="77">
        <v>1.0420491328917166E-4</v>
      </c>
      <c r="M7" s="78">
        <v>2.4089389532128029E-5</v>
      </c>
    </row>
    <row r="8" spans="3:14" x14ac:dyDescent="0.3">
      <c r="C8" t="s">
        <v>3</v>
      </c>
      <c r="D8" s="7">
        <v>9.4005267482217246E-4</v>
      </c>
      <c r="E8" s="7">
        <v>0.1</v>
      </c>
      <c r="F8" s="7"/>
      <c r="G8" s="1" t="s">
        <v>3</v>
      </c>
      <c r="H8" s="82">
        <f t="shared" si="0"/>
        <v>0.1</v>
      </c>
      <c r="I8" s="76">
        <v>2.0698240802506689E-5</v>
      </c>
      <c r="J8" s="77">
        <v>8.0076129497113672E-5</v>
      </c>
      <c r="K8" s="77">
        <v>1.0420491328917166E-4</v>
      </c>
      <c r="L8" s="77">
        <v>2.70000925391038E-4</v>
      </c>
      <c r="M8" s="78">
        <v>3.3386572907488995E-5</v>
      </c>
    </row>
    <row r="9" spans="3:14" ht="16.2" thickBot="1" x14ac:dyDescent="0.35">
      <c r="C9" t="s">
        <v>4</v>
      </c>
      <c r="D9" s="7">
        <v>-2.4435467907665175E-4</v>
      </c>
      <c r="E9" s="7">
        <v>0.1</v>
      </c>
      <c r="F9" s="7"/>
      <c r="G9" s="1" t="s">
        <v>4</v>
      </c>
      <c r="H9" s="82">
        <f t="shared" si="0"/>
        <v>0.1</v>
      </c>
      <c r="I9" s="79">
        <v>3.562954599493307E-5</v>
      </c>
      <c r="J9" s="80">
        <v>8.5259812618013222E-5</v>
      </c>
      <c r="K9" s="80">
        <v>2.4089389532128029E-5</v>
      </c>
      <c r="L9" s="80">
        <v>3.3386572907488995E-5</v>
      </c>
      <c r="M9" s="81">
        <v>1.6327075798198978E-4</v>
      </c>
    </row>
    <row r="10" spans="3:14" x14ac:dyDescent="0.3">
      <c r="E10" s="72">
        <f>SUM(E5:E9)</f>
        <v>1</v>
      </c>
      <c r="F10" s="72"/>
    </row>
    <row r="12" spans="3:14" x14ac:dyDescent="0.3">
      <c r="C12" s="1" t="s">
        <v>14</v>
      </c>
      <c r="D12" s="83">
        <f t="array" ref="D12">SUMPRODUCT(D5:D9,E5:E9)</f>
        <v>1.3048840771761321E-3</v>
      </c>
    </row>
    <row r="13" spans="3:14" x14ac:dyDescent="0.3">
      <c r="C13" s="1" t="s">
        <v>33</v>
      </c>
      <c r="D13" s="84">
        <f t="array" ref="D13">MMULT(TRANSPOSE(H5:H9),MMULT(I5:M9,H5:H9))</f>
        <v>2.171819443600985E-4</v>
      </c>
    </row>
    <row r="14" spans="3:14" x14ac:dyDescent="0.3">
      <c r="C14" s="1" t="s">
        <v>34</v>
      </c>
      <c r="D14" s="83">
        <f>SQRT(D13)</f>
        <v>1.4737094162693625E-2</v>
      </c>
    </row>
    <row r="15" spans="3:14" x14ac:dyDescent="0.3">
      <c r="C15" s="1" t="s">
        <v>17</v>
      </c>
      <c r="D15" s="85">
        <f>D14*SQRT(252)</f>
        <v>0.23394411721337391</v>
      </c>
    </row>
    <row r="17" spans="3:4" x14ac:dyDescent="0.3">
      <c r="C17" s="1" t="s">
        <v>35</v>
      </c>
      <c r="D17">
        <f>100*_xlfn.NORM.S.INV(95%)*$D$14</f>
        <v>2.424036278423197</v>
      </c>
    </row>
    <row r="18" spans="3:4" x14ac:dyDescent="0.3">
      <c r="C18" s="1" t="s">
        <v>36</v>
      </c>
      <c r="D18">
        <f>100*_xlfn.NORM.S.INV(95%)*$D$15</f>
        <v>38.480382970237827</v>
      </c>
    </row>
    <row r="19" spans="3:4" x14ac:dyDescent="0.3">
      <c r="C19" s="1" t="s">
        <v>37</v>
      </c>
      <c r="D19">
        <f>100*_xlfn.NORM.S.INV(99%)*$D$14</f>
        <v>3.4283607674922001</v>
      </c>
    </row>
    <row r="20" spans="3:4" x14ac:dyDescent="0.3">
      <c r="C20" s="1" t="s">
        <v>38</v>
      </c>
      <c r="D20">
        <f>100*_xlfn.NORM.S.INV(99%)*$D$15</f>
        <v>54.423539972369369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22"/>
  <sheetViews>
    <sheetView topLeftCell="B1" zoomScale="78" workbookViewId="0">
      <selection activeCell="F13" sqref="F13"/>
    </sheetView>
  </sheetViews>
  <sheetFormatPr defaultRowHeight="15.6" x14ac:dyDescent="0.3"/>
  <cols>
    <col min="3" max="3" width="20.5" customWidth="1"/>
    <col min="4" max="4" width="12.19921875" customWidth="1"/>
    <col min="5" max="5" width="14.69921875" customWidth="1"/>
    <col min="6" max="6" width="21.5" customWidth="1"/>
    <col min="7" max="7" width="13.8984375" customWidth="1"/>
    <col min="8" max="8" width="20.796875" customWidth="1"/>
  </cols>
  <sheetData>
    <row r="2" spans="3:8" x14ac:dyDescent="0.3">
      <c r="F2" s="1" t="s">
        <v>39</v>
      </c>
    </row>
    <row r="3" spans="3:8" x14ac:dyDescent="0.3">
      <c r="C3" s="11"/>
      <c r="D3" s="86" t="s">
        <v>0</v>
      </c>
      <c r="E3" s="86" t="s">
        <v>1</v>
      </c>
      <c r="F3" s="86" t="s">
        <v>2</v>
      </c>
      <c r="G3" s="86" t="s">
        <v>3</v>
      </c>
      <c r="H3" s="86" t="s">
        <v>4</v>
      </c>
    </row>
    <row r="4" spans="3:8" x14ac:dyDescent="0.3">
      <c r="C4" s="2" t="s">
        <v>40</v>
      </c>
      <c r="D4" s="2">
        <f>SLOPE('Returns Calculation'!E9:E260,'Returns Calculation'!$J$9:$J$260)</f>
        <v>0.218719936220133</v>
      </c>
      <c r="E4" s="2">
        <f>SLOPE('Returns Calculation'!F9:F260,'Returns Calculation'!$J$9:$J$260)</f>
        <v>-0.14302526766513632</v>
      </c>
      <c r="F4" s="2">
        <f>SLOPE('Returns Calculation'!G9:G260,'Returns Calculation'!$J$9:$J$260)</f>
        <v>0.41800927257179071</v>
      </c>
      <c r="G4" s="2">
        <f>SLOPE('Returns Calculation'!H9:H260,'Returns Calculation'!$J$9:$J$260)</f>
        <v>1.4151514169562718E-2</v>
      </c>
      <c r="H4" s="2">
        <f>SLOPE('Returns Calculation'!I9:I260,'Returns Calculation'!$J$9:$J$260)</f>
        <v>0.12564330374228178</v>
      </c>
    </row>
    <row r="5" spans="3:8" x14ac:dyDescent="0.3">
      <c r="C5" s="2" t="s">
        <v>32</v>
      </c>
      <c r="D5" s="87">
        <v>0.6</v>
      </c>
      <c r="E5" s="87">
        <v>0.1</v>
      </c>
      <c r="F5" s="87">
        <v>0.1</v>
      </c>
      <c r="G5" s="87">
        <v>0.1</v>
      </c>
      <c r="H5" s="87">
        <v>0.1</v>
      </c>
    </row>
    <row r="6" spans="3:8" x14ac:dyDescent="0.3">
      <c r="C6" s="2" t="s">
        <v>63</v>
      </c>
      <c r="D6" s="87">
        <v>0.2</v>
      </c>
      <c r="E6" s="87">
        <v>0.2</v>
      </c>
      <c r="F6" s="87">
        <v>0.2</v>
      </c>
      <c r="G6" s="87">
        <v>0.2</v>
      </c>
      <c r="H6" s="87">
        <v>0.2</v>
      </c>
    </row>
    <row r="7" spans="3:8" x14ac:dyDescent="0.3">
      <c r="C7" s="1" t="s">
        <v>41</v>
      </c>
      <c r="D7" s="103">
        <f>SUMPRODUCT(D4:H4,D5:H5)</f>
        <v>0.17270984401392969</v>
      </c>
      <c r="E7" t="s">
        <v>62</v>
      </c>
    </row>
    <row r="8" spans="3:8" x14ac:dyDescent="0.3">
      <c r="D8" s="103">
        <f>SUMPRODUCT(D6:H6,D4:H4)</f>
        <v>0.12669975180772639</v>
      </c>
      <c r="E8" t="s">
        <v>64</v>
      </c>
    </row>
    <row r="9" spans="3:8" x14ac:dyDescent="0.3">
      <c r="C9" s="1" t="s">
        <v>42</v>
      </c>
    </row>
    <row r="10" spans="3:8" x14ac:dyDescent="0.3">
      <c r="C10" s="88">
        <v>5.6399999999999999E-2</v>
      </c>
    </row>
    <row r="12" spans="3:8" x14ac:dyDescent="0.3">
      <c r="C12" s="2" t="s">
        <v>43</v>
      </c>
      <c r="D12" s="3">
        <f>'VaR with Optimized Weights '!D12*252</f>
        <v>0.32883078744838529</v>
      </c>
    </row>
    <row r="13" spans="3:8" x14ac:dyDescent="0.3">
      <c r="C13" s="2" t="s">
        <v>44</v>
      </c>
      <c r="D13" s="89">
        <f>'VaR with Optimized Weights '!D15</f>
        <v>0.23394411721337391</v>
      </c>
    </row>
    <row r="15" spans="3:8" x14ac:dyDescent="0.3">
      <c r="C15" s="2" t="s">
        <v>45</v>
      </c>
      <c r="D15" s="90">
        <f>(D12-C10)/D13</f>
        <v>1.1645122377662045</v>
      </c>
    </row>
    <row r="16" spans="3:8" x14ac:dyDescent="0.3">
      <c r="C16" s="2" t="s">
        <v>46</v>
      </c>
      <c r="D16" s="91">
        <f>(D12-D13)/D7</f>
        <v>0.54939931638962292</v>
      </c>
    </row>
    <row r="19" spans="3:4" x14ac:dyDescent="0.3">
      <c r="C19" s="1" t="s">
        <v>47</v>
      </c>
    </row>
    <row r="20" spans="3:4" x14ac:dyDescent="0.3">
      <c r="C20" s="88">
        <v>-1.26E-2</v>
      </c>
    </row>
    <row r="22" spans="3:4" x14ac:dyDescent="0.3">
      <c r="C22" s="11" t="s">
        <v>48</v>
      </c>
      <c r="D22" s="86">
        <f>D12- (C10 + D7 * (C20 - C10))</f>
        <v>0.28434776668534645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4" workbookViewId="0">
      <selection activeCell="B14" sqref="B14"/>
    </sheetView>
  </sheetViews>
  <sheetFormatPr defaultRowHeight="15.6"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BA59115C0CFE478E42AD6D46D4F5FC" ma:contentTypeVersion="4" ma:contentTypeDescription="Create a new document." ma:contentTypeScope="" ma:versionID="d4676bee1af410d506e94ab24c75c4ab">
  <xsd:schema xmlns:xsd="http://www.w3.org/2001/XMLSchema" xmlns:xs="http://www.w3.org/2001/XMLSchema" xmlns:p="http://schemas.microsoft.com/office/2006/metadata/properties" xmlns:ns2="f84a9f19-0803-43c4-ba58-975785f2f8d0" targetNamespace="http://schemas.microsoft.com/office/2006/metadata/properties" ma:root="true" ma:fieldsID="c6ef23535e98627f9a75d5c8f0641823" ns2:_="">
    <xsd:import namespace="f84a9f19-0803-43c4-ba58-975785f2f8d0"/>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4a9f19-0803-43c4-ba58-975785f2f8d0"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f84a9f19-0803-43c4-ba58-975785f2f8d0" xsi:nil="true"/>
  </documentManagement>
</p:properties>
</file>

<file path=customXml/itemProps1.xml><?xml version="1.0" encoding="utf-8"?>
<ds:datastoreItem xmlns:ds="http://schemas.openxmlformats.org/officeDocument/2006/customXml" ds:itemID="{5D5610CE-121C-4BDE-A0FC-5D571630AFC9}"/>
</file>

<file path=customXml/itemProps2.xml><?xml version="1.0" encoding="utf-8"?>
<ds:datastoreItem xmlns:ds="http://schemas.openxmlformats.org/officeDocument/2006/customXml" ds:itemID="{B1CEFFE6-A1F1-4DDC-BABB-ABD2D5BD1FC9}"/>
</file>

<file path=customXml/itemProps3.xml><?xml version="1.0" encoding="utf-8"?>
<ds:datastoreItem xmlns:ds="http://schemas.openxmlformats.org/officeDocument/2006/customXml" ds:itemID="{E38AE1CF-EF01-4304-8FF6-773E7E0F86A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Mutual Fund Specifics</vt:lpstr>
      <vt:lpstr>Closing Prices</vt:lpstr>
      <vt:lpstr>Returns Calculation</vt:lpstr>
      <vt:lpstr>Covariance Variance Matrix </vt:lpstr>
      <vt:lpstr>VaR With Equal Weights</vt:lpstr>
      <vt:lpstr>VaR with Optimized Weights </vt:lpstr>
      <vt:lpstr>Ratio's</vt:lpstr>
      <vt:lpstr>Analysis and Future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0018 singh</dc:creator>
  <cp:lastModifiedBy>0018 singh</cp:lastModifiedBy>
  <dcterms:created xsi:type="dcterms:W3CDTF">2026-03-24T04:31:44Z</dcterms:created>
  <dcterms:modified xsi:type="dcterms:W3CDTF">2026-03-30T07:46:50Z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0x01010011BA59115C0CFE478E42AD6D46D4F5FC</vt:lpwstr>
  </property>
</Properties>
</file>